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ZR\Desktop\capstone project\"/>
    </mc:Choice>
  </mc:AlternateContent>
  <xr:revisionPtr revIDLastSave="0" documentId="13_ncr:1_{0AC3E92D-1A01-4CDA-A652-11B4E4A94566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xperiment_summary" sheetId="4" r:id="rId1"/>
    <sheet name="experiment_data" sheetId="1" r:id="rId2"/>
  </sheets>
  <definedNames>
    <definedName name="_xlnm._FilterDatabase" localSheetId="1" hidden="1">experiment_data!$A$1:$R$1</definedName>
  </definedName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2" i="1"/>
  <c r="AI32" i="4"/>
  <c r="AI31" i="4"/>
</calcChain>
</file>

<file path=xl/sharedStrings.xml><?xml version="1.0" encoding="utf-8"?>
<sst xmlns="http://schemas.openxmlformats.org/spreadsheetml/2006/main" count="8555" uniqueCount="1485">
  <si>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</si>
  <si>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</si>
  <si>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</si>
  <si>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</si>
  <si>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</si>
  <si>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</si>
  <si>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</si>
  <si>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</si>
  <si>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</si>
  <si>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</si>
  <si>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</si>
  <si>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</si>
  <si>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</si>
  <si>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</si>
  <si>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</si>
  <si>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</si>
  <si>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</si>
  <si>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</si>
  <si>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</si>
  <si>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</si>
  <si>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</si>
  <si>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</si>
  <si>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</si>
  <si>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</si>
  <si>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</si>
  <si>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</si>
  <si>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</si>
  <si>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</si>
  <si>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</si>
  <si>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</si>
  <si>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</si>
  <si>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</si>
  <si>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</si>
  <si>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</si>
  <si>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</si>
  <si>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</si>
  <si>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</si>
  <si>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</si>
  <si>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</si>
  <si>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</si>
  <si>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</si>
  <si>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</si>
  <si>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</si>
  <si>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</si>
  <si>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</si>
  <si>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</si>
  <si>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</si>
  <si>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</si>
  <si>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</si>
  <si>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</si>
  <si>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</si>
  <si>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</si>
  <si>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</si>
  <si>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</si>
  <si>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</si>
  <si>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</si>
  <si>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</si>
  <si>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</si>
  <si>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</si>
  <si>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</si>
  <si>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</si>
  <si>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</si>
  <si>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</si>
  <si>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</si>
  <si>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</si>
  <si>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</si>
  <si>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</si>
  <si>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</si>
  <si>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</si>
  <si>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</si>
  <si>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</si>
  <si>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</si>
  <si>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</si>
  <si>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</si>
  <si>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</si>
  <si>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</si>
  <si>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</si>
  <si>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</si>
  <si>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</si>
  <si>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</si>
  <si>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</si>
  <si>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</si>
  <si>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</si>
  <si>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</si>
  <si>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</si>
  <si>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</si>
  <si>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</si>
  <si>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</si>
  <si>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</si>
  <si>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</si>
  <si>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</si>
  <si>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</si>
  <si>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</si>
  <si>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</si>
  <si>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</si>
  <si>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</si>
  <si>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</si>
  <si>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</si>
  <si>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</si>
  <si>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</si>
  <si>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</si>
  <si>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</si>
  <si>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</si>
  <si>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</si>
  <si>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</si>
  <si>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</si>
  <si>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</si>
  <si>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</si>
  <si>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</si>
  <si>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</si>
  <si>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</si>
  <si>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</si>
  <si>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</si>
  <si>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</si>
  <si>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</si>
  <si>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</si>
  <si>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</si>
  <si>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</si>
  <si>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</si>
  <si>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</si>
  <si>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</si>
  <si>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</si>
  <si>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</si>
  <si>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</si>
  <si>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</si>
  <si>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</si>
  <si>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</si>
  <si>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</si>
  <si>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</si>
  <si>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</si>
  <si>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</si>
  <si>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</si>
  <si>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</si>
  <si>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</si>
  <si>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</si>
  <si>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</si>
  <si>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</si>
  <si>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</si>
  <si>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</si>
  <si>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</si>
  <si>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</si>
  <si>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</si>
  <si>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</si>
  <si>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</si>
  <si>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</si>
  <si>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</si>
  <si>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</si>
  <si>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</si>
  <si>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</si>
  <si>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</si>
  <si>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</si>
  <si>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</si>
  <si>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</si>
  <si>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</si>
  <si>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</si>
  <si>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</si>
  <si>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</si>
  <si>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</si>
  <si>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</si>
  <si>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</si>
  <si>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</si>
  <si>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</si>
  <si>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</si>
  <si>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</si>
  <si>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</si>
  <si>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</si>
  <si>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</si>
  <si>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</si>
  <si>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</si>
  <si>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</si>
  <si>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</si>
  <si>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</si>
  <si>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</si>
  <si>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</si>
  <si>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</si>
  <si>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</si>
  <si>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</si>
  <si>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</si>
  <si>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</si>
  <si>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</si>
  <si>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</si>
  <si>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</si>
  <si>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</si>
  <si>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</si>
  <si>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</si>
  <si>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</si>
  <si>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</si>
  <si>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</si>
  <si>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</si>
  <si>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</si>
  <si>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</si>
  <si>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</si>
  <si>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</si>
  <si>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</si>
  <si>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</si>
  <si>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</si>
  <si>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</si>
  <si>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</si>
  <si>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</si>
  <si>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</si>
  <si>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</si>
  <si>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</si>
  <si>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</si>
  <si>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</si>
  <si>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</si>
  <si>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</si>
  <si>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</si>
  <si>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</si>
  <si>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</si>
  <si>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</si>
  <si>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</si>
  <si>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</si>
  <si>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</si>
  <si>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</si>
  <si>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</si>
  <si>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</si>
  <si>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</si>
  <si>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</si>
  <si>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</si>
  <si>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</si>
  <si>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</si>
  <si>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</si>
  <si>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</si>
  <si>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</si>
  <si>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</si>
  <si>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</si>
  <si>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</si>
  <si>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</si>
  <si>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</si>
  <si>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</si>
  <si>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</si>
  <si>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</si>
  <si>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</si>
  <si>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</si>
  <si>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</si>
  <si>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</si>
  <si>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</si>
  <si>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</si>
  <si>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</si>
  <si>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</si>
  <si>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</si>
  <si>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</si>
  <si>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</si>
  <si>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</si>
  <si>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</si>
  <si>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</si>
  <si>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</si>
  <si>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</si>
  <si>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</si>
  <si>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</si>
  <si>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</si>
  <si>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</si>
  <si>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</si>
  <si>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</si>
  <si>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</si>
  <si>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</si>
  <si>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</si>
  <si>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</si>
  <si>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</si>
  <si>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</si>
  <si>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</si>
  <si>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</si>
  <si>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</si>
  <si>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</si>
  <si>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</si>
  <si>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</si>
  <si>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</si>
  <si>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</si>
  <si>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</si>
  <si>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</si>
  <si>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</si>
  <si>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</si>
  <si>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</si>
  <si>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</si>
  <si>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</si>
  <si>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</si>
  <si>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</si>
  <si>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</si>
  <si>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</si>
  <si>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</si>
  <si>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</si>
  <si>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</si>
  <si>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</si>
  <si>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</si>
  <si>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</si>
  <si>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</si>
  <si>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</si>
  <si>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</si>
  <si>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</si>
  <si>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</si>
  <si>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</si>
  <si>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</si>
  <si>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</si>
  <si>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</si>
  <si>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</si>
  <si>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</si>
  <si>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</si>
  <si>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</si>
  <si>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</si>
  <si>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</si>
  <si>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</si>
  <si>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</si>
  <si>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</si>
  <si>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</si>
  <si>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</si>
  <si>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</si>
  <si>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</si>
  <si>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</si>
  <si>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</si>
  <si>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</si>
  <si>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</si>
  <si>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</si>
  <si>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</si>
  <si>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</si>
  <si>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</si>
  <si>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</si>
  <si>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</si>
  <si>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</si>
  <si>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</si>
  <si>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</si>
  <si>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</si>
  <si>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</si>
  <si>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</si>
  <si>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</si>
  <si>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</si>
  <si>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</si>
  <si>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</si>
  <si>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</si>
  <si>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</si>
  <si>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</si>
  <si>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</si>
  <si>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</si>
  <si>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</si>
  <si>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</si>
  <si>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</si>
  <si>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</si>
  <si>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</si>
  <si>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</si>
  <si>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</si>
  <si>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</si>
  <si>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</si>
  <si>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</si>
  <si>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</si>
  <si>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</si>
  <si>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</si>
  <si>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</si>
  <si>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</si>
  <si>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</si>
  <si>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</si>
  <si>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</si>
  <si>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</si>
  <si>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</si>
  <si>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</si>
  <si>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</si>
  <si>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</si>
  <si>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</si>
  <si>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</si>
  <si>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</si>
  <si>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</si>
  <si>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</si>
  <si>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</si>
  <si>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</si>
  <si>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</si>
  <si>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</si>
  <si>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</si>
  <si>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</si>
  <si>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</si>
  <si>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</si>
  <si>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</si>
  <si>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</si>
  <si>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</si>
  <si>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</si>
  <si>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</si>
  <si>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</si>
  <si>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</si>
  <si>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</si>
  <si>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</si>
  <si>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</si>
  <si>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</si>
  <si>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</si>
  <si>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</si>
  <si>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</si>
  <si>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</si>
  <si>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</si>
  <si>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</si>
  <si>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</si>
  <si>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</si>
  <si>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</si>
  <si>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</si>
  <si>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</si>
  <si>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</si>
  <si>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</si>
  <si>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</si>
  <si>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</si>
  <si>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</si>
  <si>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</si>
  <si>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</si>
  <si>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</si>
  <si>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</si>
  <si>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</si>
  <si>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</si>
  <si>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</si>
  <si>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</si>
  <si>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</si>
  <si>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</si>
  <si>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</si>
  <si>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</si>
  <si>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</si>
  <si>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</si>
  <si>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</si>
  <si>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</si>
  <si>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</si>
  <si>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</si>
  <si>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</si>
  <si>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</si>
  <si>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</si>
  <si>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</si>
  <si>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</si>
  <si>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</si>
  <si>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</si>
  <si>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</si>
  <si>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</si>
  <si>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</si>
  <si>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</si>
  <si>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</si>
  <si>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</si>
  <si>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</si>
  <si>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</si>
  <si>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</si>
  <si>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</si>
  <si>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</si>
  <si>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</si>
  <si>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</si>
  <si>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</si>
  <si>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</si>
  <si>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</si>
  <si>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</si>
  <si>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</si>
  <si>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</si>
  <si>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</si>
  <si>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</si>
  <si>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</si>
  <si>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</si>
  <si>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</si>
  <si>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</si>
  <si>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</si>
  <si>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</si>
  <si>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</si>
  <si>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</si>
  <si>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</si>
  <si>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</si>
  <si>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</si>
  <si>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</si>
  <si>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</si>
  <si>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</si>
  <si>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</si>
  <si>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</si>
  <si>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</si>
  <si>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</si>
  <si>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</si>
  <si>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</si>
  <si>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</si>
  <si>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</si>
  <si>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</si>
  <si>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</si>
  <si>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</si>
  <si>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</si>
  <si>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</si>
  <si>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</si>
  <si>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</si>
  <si>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</si>
  <si>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</si>
  <si>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</si>
  <si>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</si>
  <si>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</si>
  <si>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</si>
  <si>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</si>
  <si>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</si>
  <si>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</si>
  <si>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</si>
  <si>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</si>
  <si>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</si>
  <si>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</si>
  <si>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</si>
  <si>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</si>
  <si>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</si>
  <si>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</si>
  <si>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</si>
  <si>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</si>
  <si>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</si>
  <si>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</si>
  <si>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</si>
  <si>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</si>
  <si>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</si>
  <si>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</si>
  <si>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</si>
  <si>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</si>
  <si>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</si>
  <si>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</si>
  <si>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</si>
  <si>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</si>
  <si>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</si>
  <si>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</si>
  <si>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</si>
  <si>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</si>
  <si>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</si>
  <si>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</si>
  <si>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</si>
  <si>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</si>
  <si>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</si>
  <si>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</si>
  <si>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</si>
  <si>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</si>
  <si>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</si>
  <si>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</si>
  <si>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</si>
  <si>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</si>
  <si>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</si>
  <si>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</si>
  <si>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</si>
  <si>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</si>
  <si>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</si>
  <si>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</si>
  <si>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</si>
  <si>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</si>
  <si>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</si>
  <si>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</si>
  <si>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</si>
  <si>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</si>
  <si>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</si>
  <si>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</si>
  <si>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</si>
  <si>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</si>
  <si>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</si>
  <si>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</si>
  <si>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</si>
  <si>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</si>
  <si>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</si>
  <si>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</si>
  <si>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</si>
  <si>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</si>
  <si>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</si>
  <si>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</si>
  <si>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</si>
  <si>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</si>
  <si>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</si>
  <si>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</si>
  <si>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</si>
  <si>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</si>
  <si>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</si>
  <si>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</si>
  <si>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</si>
  <si>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</si>
  <si>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</si>
  <si>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</si>
  <si>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</si>
  <si>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</si>
  <si>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</si>
  <si>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</si>
  <si>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</si>
  <si>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</si>
  <si>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</si>
  <si>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</si>
  <si>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</si>
  <si>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</si>
  <si>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</si>
  <si>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</si>
  <si>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</si>
  <si>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</si>
  <si>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</si>
  <si>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</si>
  <si>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</si>
  <si>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</si>
  <si>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</si>
  <si>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</si>
  <si>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</si>
  <si>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</si>
  <si>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</si>
  <si>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</si>
  <si>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</si>
  <si>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</si>
  <si>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</si>
  <si>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</si>
  <si>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</si>
  <si>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</si>
  <si>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</si>
  <si>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</si>
  <si>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</si>
  <si>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</si>
  <si>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</si>
  <si>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</si>
  <si>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</si>
  <si>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</si>
  <si>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</si>
  <si>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</si>
  <si>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</si>
  <si>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</si>
  <si>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</si>
  <si>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</si>
  <si>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</si>
  <si>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</si>
  <si>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</si>
  <si>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</si>
  <si>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</si>
  <si>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</si>
  <si>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</si>
  <si>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</si>
  <si>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</si>
  <si>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</si>
  <si>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</si>
  <si>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</si>
  <si>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</si>
  <si>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</si>
  <si>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</si>
  <si>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</si>
  <si>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</si>
  <si>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</si>
  <si>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</si>
  <si>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</si>
  <si>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</si>
  <si>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</si>
  <si>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</si>
  <si>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</si>
  <si>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</si>
  <si>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</si>
  <si>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</si>
  <si>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</si>
  <si>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</si>
  <si>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</si>
  <si>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</si>
  <si>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</si>
  <si>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</si>
  <si>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</si>
  <si>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</si>
  <si>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</si>
  <si>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</si>
  <si>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</si>
  <si>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</si>
  <si>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</si>
  <si>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</si>
  <si>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</si>
  <si>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</si>
  <si>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</si>
  <si>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</si>
  <si>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</si>
  <si>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</si>
  <si>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</si>
  <si>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</si>
  <si>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</si>
  <si>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</si>
  <si>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</si>
  <si>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</si>
  <si>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</si>
  <si>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</si>
  <si>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</si>
  <si>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</si>
  <si>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</si>
  <si>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</si>
  <si>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</si>
  <si>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</si>
  <si>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</si>
  <si>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</si>
  <si>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</si>
  <si>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</si>
  <si>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</si>
  <si>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</si>
  <si>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</si>
  <si>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</si>
  <si>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</si>
  <si>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</si>
  <si>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</si>
  <si>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</si>
  <si>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</si>
  <si>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</si>
  <si>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</si>
  <si>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</si>
  <si>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</si>
  <si>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</si>
  <si>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</si>
  <si>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</si>
  <si>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</si>
  <si>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</si>
  <si>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</si>
  <si>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</si>
  <si>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</si>
  <si>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</si>
  <si>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</si>
  <si>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</si>
  <si>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</si>
  <si>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</si>
  <si>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</si>
  <si>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</si>
  <si>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</si>
  <si>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</si>
  <si>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</si>
  <si>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</si>
  <si>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</si>
  <si>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</si>
  <si>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</si>
  <si>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</si>
  <si>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</si>
  <si>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</si>
  <si>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</si>
  <si>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</si>
  <si>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</si>
  <si>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</si>
  <si>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</si>
  <si>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</si>
  <si>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</si>
  <si>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</si>
  <si>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</si>
  <si>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</si>
  <si>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</si>
  <si>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</si>
  <si>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</si>
  <si>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</si>
  <si>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</si>
  <si>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</si>
  <si>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</si>
  <si>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</si>
  <si>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</si>
  <si>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</si>
  <si>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</si>
  <si>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</si>
  <si>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</si>
  <si>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</si>
  <si>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</si>
  <si>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</si>
  <si>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</si>
  <si>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</si>
  <si>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</si>
  <si>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</si>
  <si>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</si>
  <si>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</si>
  <si>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</si>
  <si>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</si>
  <si>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</si>
  <si>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</si>
  <si>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</si>
  <si>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</si>
  <si>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</si>
  <si>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</si>
  <si>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</si>
  <si>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</si>
  <si>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</si>
  <si>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</si>
  <si>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</si>
  <si>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</si>
  <si>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</si>
  <si>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</si>
  <si>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</si>
  <si>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</si>
  <si>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</si>
  <si>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</si>
  <si>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</si>
  <si>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</si>
  <si>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</si>
  <si>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</si>
  <si>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</si>
  <si>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</si>
  <si>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</si>
  <si>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</si>
  <si>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</si>
  <si>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</si>
  <si>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</si>
  <si>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</si>
  <si>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</si>
  <si>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</si>
  <si>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</si>
  <si>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</si>
  <si>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</si>
  <si>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</si>
  <si>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</si>
  <si>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</si>
  <si>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</si>
  <si>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</si>
  <si>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</si>
  <si>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</si>
  <si>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</si>
  <si>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</si>
  <si>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</si>
  <si>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</si>
  <si>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</si>
  <si>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</si>
  <si>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</si>
  <si>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</si>
  <si>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</si>
  <si>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</si>
  <si>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</si>
  <si>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</si>
  <si>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</si>
  <si>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</si>
  <si>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</si>
  <si>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</si>
  <si>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</si>
  <si>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</si>
  <si>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</si>
  <si>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</si>
  <si>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</si>
  <si>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</si>
  <si>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</si>
  <si>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</si>
  <si>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</si>
  <si>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</si>
  <si>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</si>
  <si>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</si>
  <si>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</si>
  <si>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</si>
  <si>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</si>
  <si>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</si>
  <si>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</si>
  <si>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</si>
  <si>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</si>
  <si>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</si>
  <si>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</si>
  <si>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</si>
  <si>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</si>
  <si>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</si>
  <si>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</si>
  <si>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</si>
  <si>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</si>
  <si>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</si>
  <si>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</si>
  <si>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</si>
  <si>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</si>
  <si>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</si>
  <si>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</si>
  <si>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</si>
  <si>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</si>
  <si>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</si>
  <si>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</si>
  <si>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</si>
  <si>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</si>
  <si>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</si>
  <si>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</si>
  <si>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</si>
  <si>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</si>
  <si>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</si>
  <si>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</si>
  <si>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</si>
  <si>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</si>
  <si>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</si>
  <si>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</si>
  <si>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</si>
  <si>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</si>
  <si>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</si>
  <si>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</si>
  <si>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</si>
  <si>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</si>
  <si>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</si>
  <si>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</si>
  <si>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</si>
  <si>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</si>
  <si>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</si>
  <si>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</si>
  <si>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</si>
  <si>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</si>
  <si>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</si>
  <si>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</si>
  <si>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</si>
  <si>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</si>
  <si>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</si>
  <si>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</si>
  <si>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</si>
  <si>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</si>
  <si>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</si>
  <si>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</si>
  <si>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</si>
  <si>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</si>
  <si>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</si>
  <si>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</si>
  <si>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</si>
  <si>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</si>
  <si>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</si>
  <si>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</si>
  <si>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</si>
  <si>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</si>
  <si>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</si>
  <si>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</si>
  <si>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</si>
  <si>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</si>
  <si>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</si>
  <si>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</si>
  <si>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</si>
  <si>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</si>
  <si>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</si>
  <si>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</si>
  <si>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</si>
  <si>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</si>
  <si>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</si>
  <si>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</si>
  <si>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</si>
  <si>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</si>
  <si>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</si>
  <si>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</si>
  <si>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</si>
  <si>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</si>
  <si>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</si>
  <si>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</si>
  <si>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</si>
  <si>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</si>
  <si>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</si>
  <si>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</si>
  <si>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</si>
  <si>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</si>
  <si>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</si>
  <si>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</si>
  <si>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</si>
  <si>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</si>
  <si>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</si>
  <si>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</si>
  <si>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</si>
  <si>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</si>
  <si>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</si>
  <si>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</si>
  <si>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</si>
  <si>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</si>
  <si>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</si>
  <si>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</si>
  <si>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</si>
  <si>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</si>
  <si>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</si>
  <si>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</si>
  <si>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</si>
  <si>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</si>
  <si>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</si>
  <si>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</si>
  <si>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</si>
  <si>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</si>
  <si>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</si>
  <si>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</si>
  <si>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</si>
  <si>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</si>
  <si>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</si>
  <si>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</si>
  <si>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</si>
  <si>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</si>
  <si>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</si>
  <si>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</si>
  <si>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</si>
  <si>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</si>
  <si>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</si>
  <si>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</si>
  <si>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</si>
  <si>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</si>
  <si>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</si>
  <si>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</si>
  <si>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</si>
  <si>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</si>
  <si>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</si>
  <si>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</si>
  <si>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</si>
  <si>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</si>
  <si>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</si>
  <si>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</si>
  <si>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</si>
  <si>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</si>
  <si>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</si>
  <si>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</si>
  <si>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</si>
  <si>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</si>
  <si>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</si>
  <si>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</si>
  <si>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</si>
  <si>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</si>
  <si>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</si>
  <si>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</si>
  <si>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</si>
  <si>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</si>
  <si>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</si>
  <si>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</si>
  <si>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</si>
  <si>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</si>
  <si>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</si>
  <si>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</si>
  <si>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</si>
  <si>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</si>
  <si>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</si>
  <si>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</si>
  <si>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</si>
  <si>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</si>
  <si>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</si>
  <si>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</si>
  <si>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</si>
  <si>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</si>
  <si>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</si>
  <si>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</si>
  <si>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</si>
  <si>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</si>
  <si>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</si>
  <si>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</si>
  <si>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</si>
  <si>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</si>
  <si>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</si>
  <si>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</si>
  <si>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</si>
  <si>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</si>
  <si>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</si>
  <si>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</si>
  <si>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</si>
  <si>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</si>
  <si>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</si>
  <si>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</si>
  <si>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</si>
  <si>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</si>
  <si>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</si>
  <si>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</si>
  <si>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</si>
  <si>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</si>
  <si>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</si>
  <si>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</si>
  <si>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</si>
  <si>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</si>
  <si>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</si>
  <si>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</si>
  <si>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</si>
  <si>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</si>
  <si>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</si>
  <si>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</si>
  <si>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</si>
  <si>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</si>
  <si>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</si>
  <si>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</si>
  <si>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</si>
  <si>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</si>
  <si>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</si>
  <si>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</si>
  <si>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</si>
  <si>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</si>
  <si>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</si>
  <si>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</si>
  <si>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</si>
  <si>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</si>
  <si>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</si>
  <si>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</si>
  <si>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</si>
  <si>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</si>
  <si>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</si>
  <si>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</si>
  <si>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</si>
  <si>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</si>
  <si>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</si>
  <si>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</si>
  <si>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</si>
  <si>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</si>
  <si>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</si>
  <si>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</si>
  <si>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</si>
  <si>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</si>
  <si>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</si>
  <si>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</si>
  <si>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</si>
  <si>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</si>
  <si>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</si>
  <si>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</si>
  <si>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</si>
  <si>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</si>
  <si>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</si>
  <si>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</si>
  <si>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</si>
  <si>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</si>
  <si>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</si>
  <si>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</si>
  <si>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</si>
  <si>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</si>
  <si>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</si>
  <si>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</si>
  <si>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</si>
  <si>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</si>
  <si>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</si>
  <si>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</si>
  <si>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</si>
  <si>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</si>
  <si>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</si>
  <si>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</si>
  <si>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</si>
  <si>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</si>
  <si>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</si>
  <si>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</si>
  <si>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</si>
  <si>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</si>
  <si>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</si>
  <si>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</si>
  <si>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</si>
  <si>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</si>
  <si>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</si>
  <si>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</si>
  <si>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</si>
  <si>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</si>
  <si>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</si>
  <si>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</si>
  <si>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</si>
  <si>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</si>
  <si>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</si>
  <si>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</si>
  <si>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</si>
  <si>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</si>
  <si>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</si>
  <si>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</si>
  <si>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</si>
  <si>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</si>
  <si>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</si>
  <si>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</si>
  <si>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</si>
  <si>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</si>
  <si>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</si>
  <si>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</si>
  <si>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</si>
  <si>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</si>
  <si>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</si>
  <si>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</si>
  <si>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</si>
  <si>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</si>
  <si>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</si>
  <si>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</si>
  <si>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</si>
  <si>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</si>
  <si>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</si>
  <si>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</si>
  <si>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</si>
  <si>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</si>
  <si>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</si>
  <si>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</si>
  <si>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</si>
  <si>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</si>
  <si>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</si>
  <si>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</si>
  <si>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</si>
  <si>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</si>
  <si>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</si>
  <si>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</si>
  <si>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</si>
  <si>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</si>
  <si>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</si>
  <si>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</si>
  <si>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</si>
  <si>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</si>
  <si>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</si>
  <si>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</si>
  <si>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</si>
  <si>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</si>
  <si>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</si>
  <si>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</si>
  <si>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</si>
  <si>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</si>
  <si>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</si>
  <si>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</si>
  <si>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</si>
  <si>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</si>
  <si>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</si>
  <si>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</si>
  <si>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</si>
  <si>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</si>
  <si>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</si>
  <si>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</si>
  <si>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</si>
  <si>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</si>
  <si>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</si>
  <si>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</si>
  <si>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</si>
  <si>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</si>
  <si>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</si>
  <si>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</si>
  <si>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</si>
  <si>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</si>
  <si>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</si>
  <si>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</si>
  <si>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</si>
  <si>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</si>
  <si>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</si>
  <si>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</si>
  <si>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</si>
  <si>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</si>
  <si>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</si>
  <si>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</si>
  <si>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</si>
  <si>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</si>
  <si>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</si>
  <si>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</si>
  <si>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</si>
  <si>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</si>
  <si>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</si>
  <si>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</si>
  <si>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</si>
  <si>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</si>
  <si>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</si>
  <si>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</si>
  <si>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</si>
  <si>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</si>
  <si>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</si>
  <si>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</si>
  <si>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</si>
  <si>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</si>
  <si>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</si>
  <si>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</si>
  <si>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</si>
  <si>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</si>
  <si>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</si>
  <si>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</si>
  <si>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</si>
  <si>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</si>
  <si>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</si>
  <si>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</si>
  <si>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</si>
  <si>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</si>
  <si>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</si>
  <si>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</si>
  <si>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</si>
  <si>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</si>
  <si>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</si>
  <si>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</si>
  <si>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</si>
  <si>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</si>
  <si>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</si>
  <si>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</si>
  <si>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</si>
  <si>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</si>
  <si>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</si>
  <si>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</si>
  <si>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</si>
  <si>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</si>
  <si>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</si>
  <si>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</si>
  <si>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</si>
  <si>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</si>
  <si>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</si>
  <si>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</si>
  <si>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</si>
  <si>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</si>
  <si>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</si>
  <si>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</si>
  <si>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</si>
  <si>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</si>
  <si>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</si>
  <si>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</si>
  <si>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</si>
  <si>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</si>
  <si>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</si>
  <si>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</si>
  <si>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</si>
  <si>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</si>
  <si>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</si>
  <si>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</si>
  <si>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</si>
  <si>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</si>
  <si>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</si>
  <si>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</si>
  <si>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</si>
  <si>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</si>
  <si>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</si>
  <si>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</si>
  <si>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</si>
  <si>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</si>
  <si>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</si>
  <si>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</si>
  <si>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</si>
  <si>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</si>
  <si>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</si>
  <si>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</si>
  <si>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</si>
  <si>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</si>
  <si>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</si>
  <si>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</si>
  <si>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</si>
  <si>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</si>
  <si>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</si>
  <si>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</si>
  <si>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</si>
  <si>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</si>
  <si>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</si>
  <si>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</si>
  <si>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</si>
  <si>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</si>
  <si>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</si>
  <si>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</si>
  <si>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</si>
  <si>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</si>
  <si>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</si>
  <si>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</si>
  <si>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</si>
  <si>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</si>
  <si>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</si>
  <si>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</si>
  <si>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</si>
  <si>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</si>
  <si>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</si>
  <si>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</si>
  <si>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</si>
  <si>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</si>
  <si>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</si>
  <si>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</si>
  <si>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</si>
  <si>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</si>
  <si>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</si>
  <si>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</si>
  <si>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</si>
  <si>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</si>
  <si>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</si>
  <si>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</si>
  <si>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</si>
  <si>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</si>
  <si>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</si>
  <si>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</si>
  <si>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</si>
  <si>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</si>
  <si>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</si>
  <si>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</si>
  <si>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</si>
  <si>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</si>
  <si>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</si>
  <si>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</si>
  <si>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</si>
  <si>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</si>
  <si>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</si>
  <si>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</si>
  <si>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</si>
  <si>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</si>
  <si>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</si>
  <si>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</si>
  <si>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</si>
  <si>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</si>
  <si>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</si>
  <si>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</si>
  <si>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</si>
  <si>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</si>
  <si>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</si>
  <si>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</si>
  <si>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</si>
  <si>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</si>
  <si>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</si>
  <si>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</si>
  <si>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</si>
  <si>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</si>
  <si>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</si>
  <si>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</si>
  <si>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</si>
  <si>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</si>
  <si>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</si>
  <si>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</si>
  <si>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</si>
  <si>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</si>
  <si>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</si>
  <si>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</si>
  <si>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</si>
  <si>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</si>
  <si>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</si>
  <si>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</si>
  <si>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</si>
  <si>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</si>
  <si>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</si>
  <si>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</si>
  <si>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</si>
  <si>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</si>
  <si>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</si>
  <si>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</si>
  <si>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</si>
  <si>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</si>
  <si>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</si>
  <si>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</si>
  <si>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</si>
  <si>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</si>
  <si>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</si>
  <si>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</si>
  <si>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</si>
  <si>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</si>
  <si>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</si>
  <si>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</si>
  <si>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</si>
  <si>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</si>
  <si>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</si>
  <si>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</si>
  <si>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</si>
  <si>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</si>
  <si>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</si>
  <si>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</si>
  <si>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</si>
  <si>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</si>
  <si>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</si>
  <si>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</si>
  <si>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</si>
  <si>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</si>
  <si>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</si>
  <si>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</si>
  <si>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</si>
  <si>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</si>
  <si>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</si>
  <si>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</si>
  <si>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</si>
  <si>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</si>
  <si>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</si>
  <si>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</si>
  <si>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</si>
  <si>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</si>
  <si>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</si>
  <si>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</si>
  <si>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</si>
  <si>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</si>
  <si>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</si>
  <si>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</si>
  <si>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</si>
  <si>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</si>
  <si>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</si>
  <si>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</si>
  <si>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</si>
  <si>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</si>
  <si>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</si>
  <si>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</si>
  <si>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</si>
  <si>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</si>
  <si>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</si>
  <si>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</si>
  <si>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</si>
  <si>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</si>
  <si>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</si>
  <si>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</si>
  <si>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</si>
  <si>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</si>
  <si>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</si>
  <si>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</si>
  <si>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</si>
  <si>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</si>
  <si>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</si>
  <si>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</si>
  <si>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</si>
  <si>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</si>
  <si>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</si>
  <si>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</si>
  <si>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</si>
  <si>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</si>
  <si>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</si>
  <si>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</si>
  <si>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</si>
  <si>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</si>
  <si>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Row Labels</t>
  </si>
  <si>
    <t>Grand Total</t>
  </si>
  <si>
    <t>Count of user_id</t>
  </si>
  <si>
    <t>User Count</t>
  </si>
  <si>
    <t>Landing Page Visit Rate</t>
  </si>
  <si>
    <t>Average of visited_landing_page</t>
  </si>
  <si>
    <t>Trial Start Rate</t>
  </si>
  <si>
    <t>Average of started_trial</t>
  </si>
  <si>
    <t>Onboarding Completion Rate</t>
  </si>
  <si>
    <t>Average of completed_onboarding</t>
  </si>
  <si>
    <t>Paid Conversion Rate</t>
  </si>
  <si>
    <t>Average of converted_to_paid</t>
  </si>
  <si>
    <t>Average Revenue per User</t>
  </si>
  <si>
    <t>Average of revenue_30d</t>
  </si>
  <si>
    <t>Average Revenue per Converted User</t>
  </si>
  <si>
    <t>Group</t>
  </si>
  <si>
    <t>Total Revenue</t>
  </si>
  <si>
    <t>Converted Users</t>
  </si>
  <si>
    <t>ARPCU</t>
  </si>
  <si>
    <t>Sum of ARPCU</t>
  </si>
  <si>
    <t>Refund Rate</t>
  </si>
  <si>
    <t>Average of refund_requested</t>
  </si>
  <si>
    <t>Support Ticket Rate</t>
  </si>
  <si>
    <t>Support_Ticket_Flag</t>
  </si>
  <si>
    <t>Average of Support_Ticket_Flag</t>
  </si>
  <si>
    <t>Average Engagement Score</t>
  </si>
  <si>
    <t>Average of engagement_score</t>
  </si>
  <si>
    <t>Average Days to Convert</t>
  </si>
  <si>
    <t>Average of days_to_convert</t>
  </si>
  <si>
    <t>Segment Analysis</t>
  </si>
  <si>
    <t>(blank)</t>
  </si>
  <si>
    <t>Column Labels</t>
  </si>
  <si>
    <t>A. Conversion Rate by Device Type</t>
  </si>
  <si>
    <t>B. Conversion Rate by Region</t>
  </si>
  <si>
    <t>C. Conversion Rate by Traffic Source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</si>
  <si>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</si>
  <si>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</si>
  <si>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</si>
  <si>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</si>
  <si>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</si>
  <si>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</si>
  <si>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</si>
  <si>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</si>
  <si>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</si>
  <si>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</si>
  <si>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</si>
  <si>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</si>
  <si>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Total</t>
  </si>
  <si>
    <t>Experiment Summary</t>
  </si>
  <si>
    <t>Conversion Rate by Device Type</t>
  </si>
  <si>
    <t>Conversion Rate by Region</t>
  </si>
  <si>
    <t>Conversion Rate by Traffic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</si>
</sst>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9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6"/>
      <color theme="6" tint="-0.499984740745262"/>
      <name val="Carlito"/>
    </font>
    <font>
      <b/>
      <sz val="11"/>
      <name val="Carlito"/>
    </font>
    <font>
      <b/>
      <sz val="11"/>
      <color theme="6" tint="-0.499984740745262"/>
      <name val="Carlito"/>
    </font>
    <font>
      <sz val="12"/>
      <color rgb="FF24292F"/>
      <name val="Segoe UI"/>
      <family val="2"/>
    </font>
    <font>
      <b/>
      <sz val="12"/>
      <color rgb="FF24292F"/>
      <name val="Segoe UI"/>
      <family val="2"/>
    </font>
    <font>
      <b/>
      <sz val="16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theme="9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10" fontId="2" fillId="4" borderId="6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4">
    <dxf>
      <numFmt numFmtId="14" formatCode="0.00%"/>
    </dxf>
    <dxf>
      <numFmt numFmtId="2" formatCode="0.00"/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numFmt numFmtId="165" formatCode="0.0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numFmt numFmtId="14" formatCode="0.00%"/>
    </dxf>
    <dxf>
      <numFmt numFmtId="14" formatCode="0.00%"/>
    </dxf>
    <dxf>
      <numFmt numFmtId="14" formatCode="0.00%"/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numFmt numFmtId="14" formatCode="0.00%"/>
    </dxf>
    <dxf>
      <fill>
        <patternFill>
          <fgColor theme="9"/>
          <bgColor theme="9"/>
        </patternFill>
      </fill>
    </dxf>
    <dxf>
      <fill>
        <patternFill>
          <fgColor theme="9"/>
          <bgColor theme="9"/>
        </patternFill>
      </fill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numFmt numFmtId="14" formatCode="0.00%"/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numFmt numFmtId="14" formatCode="0.00%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1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theme="9"/>
          <bgColor theme="9"/>
        </patternFill>
      </fill>
      <alignment horizontal="center" vertical="center"/>
    </dxf>
    <dxf>
      <font>
        <b/>
        <color theme="0"/>
      </font>
      <fill>
        <patternFill patternType="solid">
          <fgColor theme="9"/>
          <bgColor theme="9"/>
        </patternFill>
      </fill>
      <alignment horizontal="center"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  <dxf>
      <font>
        <b/>
        <color theme="6" tint="-0.499984740745262"/>
      </font>
      <fill>
        <patternFill patternType="solid">
          <fgColor theme="9"/>
          <bgColor theme="9" tint="0.39997558519241921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Average Revenue per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experiment_summary!$AC$6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experiment_summary!$AB$7:$AB$9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experiment_summary!$AC$7:$AC$9</c:f>
              <c:numCache>
                <c:formatCode>0.0</c:formatCode>
                <c:ptCount val="2"/>
                <c:pt idx="0">
                  <c:v>51.74932178932179</c:v>
                </c:pt>
                <c:pt idx="1">
                  <c:v>53.875118881118873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F-412B-AC39-87ACCE670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42091344"/>
        <c:axId val="642089904"/>
      </c:barChart>
      <c:catAx>
        <c:axId val="6420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89904"/>
        <c:crosses val="autoZero"/>
        <c:auto val="1"/>
        <c:lblAlgn val="ctr"/>
        <c:lblOffset val="100"/>
        <c:noMultiLvlLbl val="0"/>
      </c:catAx>
      <c:valAx>
        <c:axId val="642089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9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User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experiment_summary!$I$6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experiment_summary!$H$7:$H$9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experiment_summary!$I$7:$I$9</c:f>
              <c:numCache>
                <c:formatCode>General</c:formatCode>
                <c:ptCount val="2"/>
                <c:pt idx="0">
                  <c:v>693</c:v>
                </c:pt>
                <c:pt idx="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9-4DAC-B3B5-D606C19D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02455968"/>
        <c:axId val="1602462688"/>
      </c:barChart>
      <c:catAx>
        <c:axId val="16024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62688"/>
        <c:crosses val="autoZero"/>
        <c:auto val="1"/>
        <c:lblAlgn val="ctr"/>
        <c:lblOffset val="100"/>
        <c:noMultiLvlLbl val="0"/>
      </c:catAx>
      <c:valAx>
        <c:axId val="1602462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Landing Page Visit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experiment_summary!$M$6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experiment_summary!$L$7:$L$9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experiment_summary!$M$7:$M$9</c:f>
              <c:numCache>
                <c:formatCode>0.00%</c:formatCode>
                <c:ptCount val="2"/>
                <c:pt idx="0">
                  <c:v>0.63636363636363635</c:v>
                </c:pt>
                <c:pt idx="1">
                  <c:v>0.72587412587412592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5-49AD-9C10-8D72909FA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02483328"/>
        <c:axId val="1602483808"/>
      </c:barChart>
      <c:catAx>
        <c:axId val="16024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83808"/>
        <c:crosses val="autoZero"/>
        <c:auto val="1"/>
        <c:lblAlgn val="ctr"/>
        <c:lblOffset val="100"/>
        <c:noMultiLvlLbl val="0"/>
      </c:catAx>
      <c:valAx>
        <c:axId val="160248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8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Trial Start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experiment_summary!$Q$6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experiment_summary!$P$7:$P$9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experiment_summary!$Q$7:$Q$9</c:f>
              <c:numCache>
                <c:formatCode>0.00%</c:formatCode>
                <c:ptCount val="2"/>
                <c:pt idx="0">
                  <c:v>0.25108225108225107</c:v>
                </c:pt>
                <c:pt idx="1">
                  <c:v>0.29090909090909089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C-460D-A4DC-2E87D6912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8865824"/>
        <c:axId val="218861504"/>
      </c:barChart>
      <c:catAx>
        <c:axId val="21886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61504"/>
        <c:crosses val="autoZero"/>
        <c:auto val="1"/>
        <c:lblAlgn val="ctr"/>
        <c:lblOffset val="100"/>
        <c:noMultiLvlLbl val="0"/>
      </c:catAx>
      <c:valAx>
        <c:axId val="218861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6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Onboarding 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experiment_summary!$U$6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experiment_summary!$T$7:$T$9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experiment_summary!$U$7:$U$9</c:f>
              <c:numCache>
                <c:formatCode>0.00%</c:formatCode>
                <c:ptCount val="2"/>
                <c:pt idx="0">
                  <c:v>0.15584415584415584</c:v>
                </c:pt>
                <c:pt idx="1">
                  <c:v>0.21258741258741259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3-4CB8-958C-F7233BAFC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8880704"/>
        <c:axId val="218881184"/>
      </c:barChart>
      <c:catAx>
        <c:axId val="21888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81184"/>
        <c:crosses val="autoZero"/>
        <c:auto val="1"/>
        <c:lblAlgn val="ctr"/>
        <c:lblOffset val="100"/>
        <c:noMultiLvlLbl val="0"/>
      </c:catAx>
      <c:valAx>
        <c:axId val="218881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8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Paid 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experiment_summary!$Y$6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experiment_summary!$X$7:$X$9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experiment_summary!$Y$7:$Y$9</c:f>
              <c:numCache>
                <c:formatCode>0.00%</c:formatCode>
                <c:ptCount val="2"/>
                <c:pt idx="0">
                  <c:v>3.1746031746031744E-2</c:v>
                </c:pt>
                <c:pt idx="1">
                  <c:v>6.9930069930069935E-2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2-4029-9675-CC3107985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8893184"/>
        <c:axId val="218909984"/>
      </c:barChart>
      <c:catAx>
        <c:axId val="2188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9984"/>
        <c:crosses val="autoZero"/>
        <c:auto val="1"/>
        <c:lblAlgn val="ctr"/>
        <c:lblOffset val="100"/>
        <c:noMultiLvlLbl val="0"/>
      </c:catAx>
      <c:valAx>
        <c:axId val="218909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Average Revenue per Converted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Control</c:v>
              </c:pt>
              <c:pt idx="1">
                <c:v>Treatment</c:v>
              </c:pt>
            </c:strLit>
          </c:cat>
          <c:val>
            <c:numLit>
              <c:formatCode>General</c:formatCode>
              <c:ptCount val="2"/>
              <c:pt idx="0">
                <c:v>1628.4909090909093</c:v>
              </c:pt>
              <c:pt idx="1">
                <c:v>770.41419999999994</c:v>
              </c:pt>
            </c:numLit>
          </c:val>
          <c:extLst>
            <c:ext xmlns:c16="http://schemas.microsoft.com/office/drawing/2014/chart" uri="{C3380CC4-5D6E-409C-BE32-E72D297353CC}">
              <c16:uniqueId val="{00000000-583F-4881-BB69-8F2B19B8E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8921024"/>
        <c:axId val="218922944"/>
      </c:barChart>
      <c:catAx>
        <c:axId val="2189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22944"/>
        <c:crosses val="autoZero"/>
        <c:auto val="1"/>
        <c:lblAlgn val="ctr"/>
        <c:lblOffset val="100"/>
        <c:noMultiLvlLbl val="0"/>
      </c:catAx>
      <c:valAx>
        <c:axId val="218922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2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Refund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experiment_summary!$AM$6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experiment_summary!$AL$7:$AL$9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experiment_summary!$AM$7:$AM$9</c:f>
              <c:numCache>
                <c:formatCode>0.00%</c:formatCode>
                <c:ptCount val="2"/>
                <c:pt idx="0">
                  <c:v>0</c:v>
                </c:pt>
                <c:pt idx="1">
                  <c:v>4.1958041958041958E-3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E-40AE-BC6E-8842F283E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05826048"/>
        <c:axId val="1605823168"/>
      </c:barChart>
      <c:catAx>
        <c:axId val="16058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823168"/>
        <c:crosses val="autoZero"/>
        <c:auto val="1"/>
        <c:lblAlgn val="ctr"/>
        <c:lblOffset val="100"/>
        <c:noMultiLvlLbl val="0"/>
      </c:catAx>
      <c:valAx>
        <c:axId val="1605823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82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Support Ticket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experiment_summary!$AQ$6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experiment_summary!$AP$7:$AP$9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experiment_summary!$AQ$7:$AQ$9</c:f>
              <c:numCache>
                <c:formatCode>0.00%</c:formatCode>
                <c:ptCount val="2"/>
                <c:pt idx="0">
                  <c:v>0.1471861471861472</c:v>
                </c:pt>
                <c:pt idx="1">
                  <c:v>0.24755244755244754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1-4CD7-AC4F-58802DC5D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0446528"/>
        <c:axId val="290445568"/>
      </c:barChart>
      <c:catAx>
        <c:axId val="2904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45568"/>
        <c:crosses val="autoZero"/>
        <c:auto val="1"/>
        <c:lblAlgn val="ctr"/>
        <c:lblOffset val="100"/>
        <c:noMultiLvlLbl val="0"/>
      </c:catAx>
      <c:valAx>
        <c:axId val="290445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4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Average Engagement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experiment_summary!$AU$6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experiment_summary!$AT$7:$AT$9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experiment_summary!$AU$7:$AU$9</c:f>
              <c:numCache>
                <c:formatCode>0.00</c:formatCode>
                <c:ptCount val="2"/>
                <c:pt idx="0">
                  <c:v>57.026200873362491</c:v>
                </c:pt>
                <c:pt idx="1">
                  <c:v>62.931966053748233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B-4B1E-9D74-C6B32FF4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21236080"/>
        <c:axId val="221233680"/>
      </c:barChart>
      <c:catAx>
        <c:axId val="2212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33680"/>
        <c:crosses val="autoZero"/>
        <c:auto val="1"/>
        <c:lblAlgn val="ctr"/>
        <c:lblOffset val="100"/>
        <c:noMultiLvlLbl val="0"/>
      </c:catAx>
      <c:valAx>
        <c:axId val="221233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Average Days to Convert</a:t>
            </a:r>
          </a:p>
        </c:rich>
      </c:tx>
      <c:overlay val="0"/>
      <c:spPr>
        <a:noFill/>
        <a:ln w="3810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Control</c:v>
              </c:pt>
              <c:pt idx="1">
                <c:v>Treatment</c:v>
              </c:pt>
            </c:strLit>
          </c:cat>
          <c:val>
            <c:numLit>
              <c:formatCode>General</c:formatCode>
              <c:ptCount val="2"/>
              <c:pt idx="0">
                <c:v>8.8636363636363633</c:v>
              </c:pt>
              <c:pt idx="1">
                <c:v>6.4</c:v>
              </c:pt>
            </c:numLit>
          </c:val>
          <c:extLst>
            <c:ext xmlns:c16="http://schemas.microsoft.com/office/drawing/2014/chart" uri="{C3380CC4-5D6E-409C-BE32-E72D297353CC}">
              <c16:uniqueId val="{00000000-3D54-4ACA-A77C-191D5AEE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6650512"/>
        <c:axId val="296641392"/>
      </c:barChart>
      <c:catAx>
        <c:axId val="29665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1392"/>
        <c:crosses val="autoZero"/>
        <c:auto val="1"/>
        <c:lblAlgn val="ctr"/>
        <c:lblOffset val="100"/>
        <c:noMultiLvlLbl val="0"/>
      </c:catAx>
      <c:valAx>
        <c:axId val="296641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5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Conversion Rate by Device Type</a:t>
            </a:r>
          </a:p>
        </c:rich>
      </c:tx>
      <c:overlay val="0"/>
      <c:spPr>
        <a:noFill/>
        <a:ln w="38100"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experiment_summary!$BC$8:$BC$9</c:f>
              <c:strCache>
                <c:ptCount val="1"/>
                <c:pt idx="0">
                  <c:v>Control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experiment_summary!$BB$10:$BB$14</c:f>
              <c:strCache>
                <c:ptCount val="4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experiment_summary!$BC$10:$BC$14</c:f>
              <c:numCache>
                <c:formatCode>0.00%</c:formatCode>
                <c:ptCount val="4"/>
                <c:pt idx="0">
                  <c:v>4.4999999999999998E-2</c:v>
                </c:pt>
                <c:pt idx="1">
                  <c:v>2.5700934579439252E-2</c:v>
                </c:pt>
                <c:pt idx="2">
                  <c:v>1.7857142857142856E-2</c:v>
                </c:pt>
                <c:pt idx="3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2-4F7E-9BA0-F0E1ED17C8D4}"/>
            </c:ext>
          </c:extLst>
        </c:ser>
        <c:ser>
          <c:idx val="1"/>
          <c:order val="1"/>
          <c:tx>
            <c:strRef>
              <c:f>experiment_summary!$BD$8:$BD$9</c:f>
              <c:strCache>
                <c:ptCount val="1"/>
                <c:pt idx="0">
                  <c:v>Treatment</c:v>
                </c:pt>
              </c:strCache>
            </c:strRef>
          </c:tx>
          <c:invertIfNegative val="0"/>
          <c:cat>
            <c:strRef>
              <c:f>experiment_summary!$BB$10:$BB$14</c:f>
              <c:strCache>
                <c:ptCount val="4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experiment_summary!$BD$10:$BD$14</c:f>
              <c:numCache>
                <c:formatCode>0.00%</c:formatCode>
                <c:ptCount val="4"/>
                <c:pt idx="0">
                  <c:v>6.5420560747663545E-2</c:v>
                </c:pt>
                <c:pt idx="1">
                  <c:v>7.3394495412844041E-2</c:v>
                </c:pt>
                <c:pt idx="2">
                  <c:v>7.1428571428571425E-2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2-4F7E-9BA0-F0E1ED17C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6650512"/>
        <c:axId val="296641392"/>
      </c:barChart>
      <c:catAx>
        <c:axId val="29665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1392"/>
        <c:crosses val="autoZero"/>
        <c:auto val="1"/>
        <c:lblAlgn val="ctr"/>
        <c:lblOffset val="100"/>
        <c:noMultiLvlLbl val="0"/>
      </c:catAx>
      <c:valAx>
        <c:axId val="296641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50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Chart TiConversion Rate by Regiontle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experiment_summary!$BI$8:$BI$9</c:f>
              <c:strCache>
                <c:ptCount val="1"/>
                <c:pt idx="0">
                  <c:v>Control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shade val="76000"/>
                  </a:schemeClr>
                </a:gs>
                <a:gs pos="75000">
                  <a:schemeClr val="accent3">
                    <a:shade val="76000"/>
                    <a:lumMod val="60000"/>
                    <a:lumOff val="40000"/>
                  </a:schemeClr>
                </a:gs>
                <a:gs pos="51000">
                  <a:schemeClr val="accent3">
                    <a:shade val="76000"/>
                    <a:alpha val="75000"/>
                  </a:schemeClr>
                </a:gs>
                <a:gs pos="100000">
                  <a:schemeClr val="accent3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experiment_summary!$BH$10:$BH$14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experiment_summary!$BI$10:$BI$14</c:f>
              <c:numCache>
                <c:formatCode>0.00%</c:formatCode>
                <c:ptCount val="4"/>
                <c:pt idx="0">
                  <c:v>2.5316455696202531E-2</c:v>
                </c:pt>
                <c:pt idx="1">
                  <c:v>3.4482758620689655E-2</c:v>
                </c:pt>
                <c:pt idx="2">
                  <c:v>3.2608695652173912E-2</c:v>
                </c:pt>
                <c:pt idx="3">
                  <c:v>3.3783783783783786E-2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1-4E0C-AE3B-56E79E9D2DF1}"/>
            </c:ext>
          </c:extLst>
        </c:ser>
        <c:ser>
          <c:idx val="1"/>
          <c:order val="1"/>
          <c:tx>
            <c:strRef>
              <c:f>experiment_summary!$BJ$8:$BJ$9</c:f>
              <c:strCache>
                <c:ptCount val="1"/>
                <c:pt idx="0">
                  <c:v>Treatment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tint val="77000"/>
                  </a:schemeClr>
                </a:gs>
                <a:gs pos="75000">
                  <a:schemeClr val="accent3">
                    <a:tint val="77000"/>
                    <a:lumMod val="60000"/>
                    <a:lumOff val="40000"/>
                  </a:schemeClr>
                </a:gs>
                <a:gs pos="51000">
                  <a:schemeClr val="accent3">
                    <a:tint val="77000"/>
                    <a:alpha val="75000"/>
                  </a:schemeClr>
                </a:gs>
                <a:gs pos="100000">
                  <a:schemeClr val="accent3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experiment_summary!$BH$10:$BH$14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experiment_summary!$BJ$10:$BJ$14</c:f>
              <c:numCache>
                <c:formatCode>0.00%</c:formatCode>
                <c:ptCount val="4"/>
                <c:pt idx="0">
                  <c:v>6.3953488372093026E-2</c:v>
                </c:pt>
                <c:pt idx="1">
                  <c:v>8.8888888888888892E-2</c:v>
                </c:pt>
                <c:pt idx="2">
                  <c:v>7.6086956521739135E-2</c:v>
                </c:pt>
                <c:pt idx="3">
                  <c:v>5.027932960893855E-2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1-4E0C-AE3B-56E79E9D2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9945568"/>
        <c:axId val="299942688"/>
      </c:barChart>
      <c:catAx>
        <c:axId val="2999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42688"/>
        <c:crosses val="autoZero"/>
        <c:auto val="1"/>
        <c:lblAlgn val="ctr"/>
        <c:lblOffset val="100"/>
        <c:noMultiLvlLbl val="0"/>
      </c:catAx>
      <c:valAx>
        <c:axId val="299942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4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[experiment_summary.xlsx]experiment_summary!PivotTable15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Conversion Rate by Traffic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5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experiment_summary!$BN$8:$BN$9</c:f>
              <c:strCache>
                <c:ptCount val="1"/>
                <c:pt idx="0">
                  <c:v>Control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shade val="76000"/>
                  </a:schemeClr>
                </a:gs>
                <a:gs pos="75000">
                  <a:schemeClr val="accent3">
                    <a:shade val="76000"/>
                    <a:lumMod val="60000"/>
                    <a:lumOff val="40000"/>
                  </a:schemeClr>
                </a:gs>
                <a:gs pos="51000">
                  <a:schemeClr val="accent3">
                    <a:shade val="76000"/>
                    <a:alpha val="75000"/>
                  </a:schemeClr>
                </a:gs>
                <a:gs pos="100000">
                  <a:schemeClr val="accent3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experiment_summary!$BM$10:$BM$16</c:f>
              <c:strCache>
                <c:ptCount val="6"/>
                <c:pt idx="0">
                  <c:v>Email</c:v>
                </c:pt>
                <c:pt idx="1">
                  <c:v>Organic</c:v>
                </c:pt>
                <c:pt idx="2">
                  <c:v>Paid Search</c:v>
                </c:pt>
                <c:pt idx="3">
                  <c:v>Referral</c:v>
                </c:pt>
                <c:pt idx="4">
                  <c:v>Social</c:v>
                </c:pt>
                <c:pt idx="5">
                  <c:v>(blank)</c:v>
                </c:pt>
              </c:strCache>
            </c:strRef>
          </c:cat>
          <c:val>
            <c:numRef>
              <c:f>experiment_summary!$BN$10:$BN$16</c:f>
              <c:numCache>
                <c:formatCode>0.00%</c:formatCode>
                <c:ptCount val="6"/>
                <c:pt idx="0">
                  <c:v>2.7027027027027029E-2</c:v>
                </c:pt>
                <c:pt idx="1">
                  <c:v>2.032520325203252E-2</c:v>
                </c:pt>
                <c:pt idx="2">
                  <c:v>1.282051282051282E-2</c:v>
                </c:pt>
                <c:pt idx="3">
                  <c:v>2.4691358024691357E-2</c:v>
                </c:pt>
                <c:pt idx="4">
                  <c:v>7.6923076923076927E-2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A-46DE-8673-EBCD3086C2DF}"/>
            </c:ext>
          </c:extLst>
        </c:ser>
        <c:ser>
          <c:idx val="1"/>
          <c:order val="1"/>
          <c:tx>
            <c:strRef>
              <c:f>experiment_summary!$BO$8:$BO$9</c:f>
              <c:strCache>
                <c:ptCount val="1"/>
                <c:pt idx="0">
                  <c:v>Treatment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tint val="77000"/>
                  </a:schemeClr>
                </a:gs>
                <a:gs pos="75000">
                  <a:schemeClr val="accent3">
                    <a:tint val="77000"/>
                    <a:lumMod val="60000"/>
                    <a:lumOff val="40000"/>
                  </a:schemeClr>
                </a:gs>
                <a:gs pos="51000">
                  <a:schemeClr val="accent3">
                    <a:tint val="77000"/>
                    <a:alpha val="75000"/>
                  </a:schemeClr>
                </a:gs>
                <a:gs pos="100000">
                  <a:schemeClr val="accent3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experiment_summary!$BM$10:$BM$16</c:f>
              <c:strCache>
                <c:ptCount val="6"/>
                <c:pt idx="0">
                  <c:v>Email</c:v>
                </c:pt>
                <c:pt idx="1">
                  <c:v>Organic</c:v>
                </c:pt>
                <c:pt idx="2">
                  <c:v>Paid Search</c:v>
                </c:pt>
                <c:pt idx="3">
                  <c:v>Referral</c:v>
                </c:pt>
                <c:pt idx="4">
                  <c:v>Social</c:v>
                </c:pt>
                <c:pt idx="5">
                  <c:v>(blank)</c:v>
                </c:pt>
              </c:strCache>
            </c:strRef>
          </c:cat>
          <c:val>
            <c:numRef>
              <c:f>experiment_summary!$BO$10:$BO$16</c:f>
              <c:numCache>
                <c:formatCode>0.00%</c:formatCode>
                <c:ptCount val="6"/>
                <c:pt idx="0">
                  <c:v>7.1428571428571425E-2</c:v>
                </c:pt>
                <c:pt idx="1">
                  <c:v>6.2240663900414939E-2</c:v>
                </c:pt>
                <c:pt idx="2">
                  <c:v>6.25E-2</c:v>
                </c:pt>
                <c:pt idx="3">
                  <c:v>0.10989010989010989</c:v>
                </c:pt>
                <c:pt idx="4">
                  <c:v>6.0150375939849621E-2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A-46DE-8673-EBCD3086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87257824"/>
        <c:axId val="487246784"/>
      </c:barChart>
      <c:catAx>
        <c:axId val="4872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46784"/>
        <c:crosses val="autoZero"/>
        <c:auto val="1"/>
        <c:lblAlgn val="ctr"/>
        <c:lblOffset val="100"/>
        <c:noMultiLvlLbl val="0"/>
      </c:catAx>
      <c:valAx>
        <c:axId val="487246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4762</xdr:colOff>
      <xdr:row>11</xdr:row>
      <xdr:rowOff>171450</xdr:rowOff>
    </xdr:from>
    <xdr:to>
      <xdr:col>29</xdr:col>
      <xdr:colOff>28575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7CD51-8F18-44BE-B5D4-615E08186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12</xdr:row>
      <xdr:rowOff>0</xdr:rowOff>
    </xdr:from>
    <xdr:to>
      <xdr:col>9</xdr:col>
      <xdr:colOff>19051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A2E24-E47A-417F-82ED-DE9F9953F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681037</xdr:colOff>
      <xdr:row>12</xdr:row>
      <xdr:rowOff>0</xdr:rowOff>
    </xdr:from>
    <xdr:to>
      <xdr:col>13</xdr:col>
      <xdr:colOff>19050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FBAFD7-09D0-F021-135C-0E1CBEDA4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681036</xdr:colOff>
      <xdr:row>11</xdr:row>
      <xdr:rowOff>171450</xdr:rowOff>
    </xdr:from>
    <xdr:to>
      <xdr:col>17</xdr:col>
      <xdr:colOff>9524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A273ED-E238-7B34-6CC3-9D2392E6B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4762</xdr:colOff>
      <xdr:row>12</xdr:row>
      <xdr:rowOff>0</xdr:rowOff>
    </xdr:from>
    <xdr:to>
      <xdr:col>21</xdr:col>
      <xdr:colOff>19050</xdr:colOff>
      <xdr:row>27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A40F85-B742-75B1-7E16-993FCBA44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4762</xdr:colOff>
      <xdr:row>12</xdr:row>
      <xdr:rowOff>0</xdr:rowOff>
    </xdr:from>
    <xdr:to>
      <xdr:col>24</xdr:col>
      <xdr:colOff>2105025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74E66-7072-8ED6-E298-9CCD68009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9525</xdr:colOff>
      <xdr:row>12</xdr:row>
      <xdr:rowOff>0</xdr:rowOff>
    </xdr:from>
    <xdr:to>
      <xdr:col>33</xdr:col>
      <xdr:colOff>28576</xdr:colOff>
      <xdr:row>27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A77B2E-1FCB-9B0E-BA1D-1C412BE54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681038</xdr:colOff>
      <xdr:row>12</xdr:row>
      <xdr:rowOff>9525</xdr:rowOff>
    </xdr:from>
    <xdr:to>
      <xdr:col>39</xdr:col>
      <xdr:colOff>1</xdr:colOff>
      <xdr:row>27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D968A0-BF27-0120-41CD-623178C50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14287</xdr:colOff>
      <xdr:row>11</xdr:row>
      <xdr:rowOff>171450</xdr:rowOff>
    </xdr:from>
    <xdr:to>
      <xdr:col>43</xdr:col>
      <xdr:colOff>9525</xdr:colOff>
      <xdr:row>27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DCFDB4-7880-3356-E57D-AD23ECECA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14287</xdr:colOff>
      <xdr:row>11</xdr:row>
      <xdr:rowOff>161925</xdr:rowOff>
    </xdr:from>
    <xdr:to>
      <xdr:col>47</xdr:col>
      <xdr:colOff>0</xdr:colOff>
      <xdr:row>27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03ABA1-89E2-4ADB-48D7-29A4D969B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19050</xdr:colOff>
      <xdr:row>13</xdr:row>
      <xdr:rowOff>19050</xdr:rowOff>
    </xdr:from>
    <xdr:to>
      <xdr:col>51</xdr:col>
      <xdr:colOff>0</xdr:colOff>
      <xdr:row>28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72C1065-3F14-4A7D-8B66-82869AE2D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14286</xdr:colOff>
      <xdr:row>14</xdr:row>
      <xdr:rowOff>171450</xdr:rowOff>
    </xdr:from>
    <xdr:to>
      <xdr:col>56</xdr:col>
      <xdr:colOff>904874</xdr:colOff>
      <xdr:row>29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B38D9AF-F8AC-2285-108C-C73AE77A3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59</xdr:col>
      <xdr:colOff>14286</xdr:colOff>
      <xdr:row>14</xdr:row>
      <xdr:rowOff>152399</xdr:rowOff>
    </xdr:from>
    <xdr:to>
      <xdr:col>62</xdr:col>
      <xdr:colOff>904874</xdr:colOff>
      <xdr:row>29</xdr:row>
      <xdr:rowOff>371474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4428B5-C6F9-7B42-A381-035DA220E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4762</xdr:colOff>
      <xdr:row>18</xdr:row>
      <xdr:rowOff>9524</xdr:rowOff>
    </xdr:from>
    <xdr:to>
      <xdr:col>69</xdr:col>
      <xdr:colOff>166687</xdr:colOff>
      <xdr:row>35</xdr:row>
      <xdr:rowOff>133349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B75D796-4F0F-397B-EA66-D47F42BF0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142875</xdr:colOff>
      <xdr:row>6</xdr:row>
      <xdr:rowOff>123825</xdr:rowOff>
    </xdr:from>
    <xdr:to>
      <xdr:col>6</xdr:col>
      <xdr:colOff>457200</xdr:colOff>
      <xdr:row>6</xdr:row>
      <xdr:rowOff>123825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F4DB7BB-D8A6-6526-36F9-1D6772209033}"/>
            </a:ext>
          </a:extLst>
        </xdr:cNvPr>
        <xdr:cNvCxnSpPr/>
      </xdr:nvCxnSpPr>
      <xdr:spPr>
        <a:xfrm>
          <a:off x="6076950" y="1457325"/>
          <a:ext cx="1000125" cy="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133350</xdr:rowOff>
    </xdr:from>
    <xdr:to>
      <xdr:col>8</xdr:col>
      <xdr:colOff>0</xdr:colOff>
      <xdr:row>11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D213ADE-04E2-430C-A599-888DE83173C4}"/>
            </a:ext>
          </a:extLst>
        </xdr:cNvPr>
        <xdr:cNvCxnSpPr/>
      </xdr:nvCxnSpPr>
      <xdr:spPr>
        <a:xfrm>
          <a:off x="8172450" y="212407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942975</xdr:colOff>
      <xdr:row>9</xdr:row>
      <xdr:rowOff>114300</xdr:rowOff>
    </xdr:from>
    <xdr:to>
      <xdr:col>12</xdr:col>
      <xdr:colOff>942975</xdr:colOff>
      <xdr:row>11</xdr:row>
      <xdr:rowOff>76200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CCF9BB9-0504-460A-8D84-FA0494FADDC2}"/>
            </a:ext>
          </a:extLst>
        </xdr:cNvPr>
        <xdr:cNvCxnSpPr/>
      </xdr:nvCxnSpPr>
      <xdr:spPr>
        <a:xfrm>
          <a:off x="12553950" y="210502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438150</xdr:colOff>
      <xdr:row>9</xdr:row>
      <xdr:rowOff>104775</xdr:rowOff>
    </xdr:from>
    <xdr:to>
      <xdr:col>16</xdr:col>
      <xdr:colOff>438150</xdr:colOff>
      <xdr:row>11</xdr:row>
      <xdr:rowOff>66675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0A68211-67DF-440D-8675-0EA4B602BE89}"/>
            </a:ext>
          </a:extLst>
        </xdr:cNvPr>
        <xdr:cNvCxnSpPr/>
      </xdr:nvCxnSpPr>
      <xdr:spPr>
        <a:xfrm>
          <a:off x="16611600" y="2095500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885825</xdr:colOff>
      <xdr:row>9</xdr:row>
      <xdr:rowOff>123825</xdr:rowOff>
    </xdr:from>
    <xdr:to>
      <xdr:col>20</xdr:col>
      <xdr:colOff>885825</xdr:colOff>
      <xdr:row>11</xdr:row>
      <xdr:rowOff>85725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92B27DE-78C1-4783-95E6-FEEEBC094ABE}"/>
            </a:ext>
          </a:extLst>
        </xdr:cNvPr>
        <xdr:cNvCxnSpPr/>
      </xdr:nvCxnSpPr>
      <xdr:spPr>
        <a:xfrm>
          <a:off x="20974050" y="2114550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714375</xdr:colOff>
      <xdr:row>9</xdr:row>
      <xdr:rowOff>133350</xdr:rowOff>
    </xdr:from>
    <xdr:to>
      <xdr:col>24</xdr:col>
      <xdr:colOff>714375</xdr:colOff>
      <xdr:row>11</xdr:row>
      <xdr:rowOff>95250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57C1666-236A-4135-A98F-80B8DF57FF37}"/>
            </a:ext>
          </a:extLst>
        </xdr:cNvPr>
        <xdr:cNvCxnSpPr/>
      </xdr:nvCxnSpPr>
      <xdr:spPr>
        <a:xfrm>
          <a:off x="25479375" y="212407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342900</xdr:colOff>
      <xdr:row>9</xdr:row>
      <xdr:rowOff>114300</xdr:rowOff>
    </xdr:from>
    <xdr:to>
      <xdr:col>28</xdr:col>
      <xdr:colOff>342900</xdr:colOff>
      <xdr:row>11</xdr:row>
      <xdr:rowOff>76200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03197D8-361F-4FB8-945A-5F4DF0503068}"/>
            </a:ext>
          </a:extLst>
        </xdr:cNvPr>
        <xdr:cNvCxnSpPr/>
      </xdr:nvCxnSpPr>
      <xdr:spPr>
        <a:xfrm>
          <a:off x="29622750" y="210502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1114425</xdr:colOff>
      <xdr:row>9</xdr:row>
      <xdr:rowOff>114300</xdr:rowOff>
    </xdr:from>
    <xdr:to>
      <xdr:col>32</xdr:col>
      <xdr:colOff>1114425</xdr:colOff>
      <xdr:row>11</xdr:row>
      <xdr:rowOff>76200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C5C0954-BC24-4069-B5A7-62E14BEE287D}"/>
            </a:ext>
          </a:extLst>
        </xdr:cNvPr>
        <xdr:cNvCxnSpPr/>
      </xdr:nvCxnSpPr>
      <xdr:spPr>
        <a:xfrm>
          <a:off x="34566225" y="210502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600075</xdr:colOff>
      <xdr:row>9</xdr:row>
      <xdr:rowOff>171450</xdr:rowOff>
    </xdr:from>
    <xdr:to>
      <xdr:col>38</xdr:col>
      <xdr:colOff>600075</xdr:colOff>
      <xdr:row>11</xdr:row>
      <xdr:rowOff>133350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40BDC13-E534-4592-8BD4-94A72B1C38E0}"/>
            </a:ext>
          </a:extLst>
        </xdr:cNvPr>
        <xdr:cNvCxnSpPr/>
      </xdr:nvCxnSpPr>
      <xdr:spPr>
        <a:xfrm>
          <a:off x="41186100" y="216217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628650</xdr:colOff>
      <xdr:row>9</xdr:row>
      <xdr:rowOff>152400</xdr:rowOff>
    </xdr:from>
    <xdr:to>
      <xdr:col>42</xdr:col>
      <xdr:colOff>628650</xdr:colOff>
      <xdr:row>11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BB64385-5ECE-49F2-BE0C-1C809F0821DA}"/>
            </a:ext>
          </a:extLst>
        </xdr:cNvPr>
        <xdr:cNvCxnSpPr/>
      </xdr:nvCxnSpPr>
      <xdr:spPr>
        <a:xfrm>
          <a:off x="45548550" y="214312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647700</xdr:colOff>
      <xdr:row>9</xdr:row>
      <xdr:rowOff>123825</xdr:rowOff>
    </xdr:from>
    <xdr:to>
      <xdr:col>46</xdr:col>
      <xdr:colOff>647700</xdr:colOff>
      <xdr:row>11</xdr:row>
      <xdr:rowOff>85725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D6030E3-3959-49F5-B712-9F6D05234962}"/>
            </a:ext>
          </a:extLst>
        </xdr:cNvPr>
        <xdr:cNvCxnSpPr/>
      </xdr:nvCxnSpPr>
      <xdr:spPr>
        <a:xfrm>
          <a:off x="50091975" y="2114550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285750</xdr:colOff>
      <xdr:row>10</xdr:row>
      <xdr:rowOff>123825</xdr:rowOff>
    </xdr:from>
    <xdr:to>
      <xdr:col>50</xdr:col>
      <xdr:colOff>285750</xdr:colOff>
      <xdr:row>12</xdr:row>
      <xdr:rowOff>85725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EBF18BE-F148-4695-87DC-CBC124612658}"/>
            </a:ext>
          </a:extLst>
        </xdr:cNvPr>
        <xdr:cNvCxnSpPr/>
      </xdr:nvCxnSpPr>
      <xdr:spPr>
        <a:xfrm>
          <a:off x="54625875" y="2333625"/>
          <a:ext cx="0" cy="40005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171450</xdr:colOff>
      <xdr:row>2</xdr:row>
      <xdr:rowOff>180975</xdr:rowOff>
    </xdr:from>
    <xdr:to>
      <xdr:col>57</xdr:col>
      <xdr:colOff>142875</xdr:colOff>
      <xdr:row>3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7EA7DDC2-BE58-4240-80E6-FC83AA298D67}"/>
            </a:ext>
          </a:extLst>
        </xdr:cNvPr>
        <xdr:cNvCxnSpPr/>
      </xdr:nvCxnSpPr>
      <xdr:spPr>
        <a:xfrm flipV="1">
          <a:off x="61093350" y="638175"/>
          <a:ext cx="1781175" cy="9525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7.510531250002" createdVersion="8" refreshedVersion="8" minRefreshableVersion="3" recordCount="1408" xr:uid="{5BB84598-A481-4C48-9438-70C972483046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8.578972106479" createdVersion="8" refreshedVersion="8" minRefreshableVersion="3" recordCount="1408" xr:uid="{0C8D9D0B-2B97-4504-934F-21E2DE9A94B1}">
  <cacheSource type="worksheet">
    <worksheetSource ref="A1:Q1409" sheet="experiment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Average Revenue per Converted Us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8.691362384256" createdVersion="8" refreshedVersion="8" minRefreshableVersion="3" recordCount="1408" xr:uid="{E99C0E60-9C68-48D5-9C64-B2C0E22AB25A}">
  <cacheSource type="worksheet">
    <worksheetSource ref="A1:R1409" sheet="experiment_data"/>
  </cacheSource>
  <cacheFields count="18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Average Revenue per Converted User" numFmtId="0">
      <sharedItems containsNonDate="0" containsString="0" containsBlank="1"/>
    </cacheField>
    <cacheField name="Support_Ticket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  <m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  <m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  <m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  <m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  <m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  <m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  <m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  <m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  <m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  <m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  <m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  <m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  <m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  <m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  <m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  <m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  <m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  <m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  <m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  <m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  <m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  <m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  <m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  <m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  <m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  <m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  <m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  <m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  <m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  <m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  <m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  <m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  <m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  <m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  <m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  <m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  <m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  <m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  <m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  <m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  <m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  <m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  <m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  <m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  <m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  <m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  <m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  <m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  <m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  <m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  <m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  <m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  <m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  <m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  <m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  <m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  <m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  <m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  <m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  <m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  <m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  <m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  <m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  <m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  <m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  <m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  <m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  <m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  <m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  <m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  <m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  <m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  <m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  <m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  <m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  <m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  <m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  <m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  <m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  <m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  <m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  <m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  <m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  <m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  <m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  <m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  <m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  <m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  <m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  <m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  <m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  <m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  <m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  <m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  <m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  <m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  <m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  <m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  <m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  <m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  <m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  <m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  <m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  <m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  <m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  <m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  <m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  <m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  <m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  <m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  <m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  <m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  <m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  <m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  <m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  <m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  <m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  <m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  <m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  <m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  <m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  <m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  <m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  <m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  <m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  <m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  <m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  <m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  <m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  <m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  <m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  <m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  <m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  <m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  <m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  <m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  <m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  <m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  <m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  <m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  <m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  <m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  <m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  <m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  <m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  <m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  <m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  <m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  <m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  <m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  <m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  <m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  <m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  <m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  <m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  <m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  <m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  <m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  <m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  <m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  <m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  <m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  <m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  <m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  <m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  <m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  <m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  <m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  <m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  <m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  <m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  <m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  <m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  <m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  <m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  <m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  <m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  <m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  <m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  <m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  <m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  <m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  <m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  <m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  <m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  <m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  <m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  <m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  <m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  <m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  <m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  <m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  <m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  <m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  <m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  <m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  <m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  <m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  <m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  <m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  <m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  <m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  <m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  <m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  <m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  <m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  <m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  <m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  <m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  <m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  <m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  <m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  <m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  <m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  <m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  <m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  <m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  <m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  <m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  <m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  <m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  <m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  <m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  <m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  <m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  <m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  <m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  <m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  <m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  <m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  <m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  <m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  <m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  <m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  <m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  <m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  <m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  <m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  <m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  <m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  <m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  <m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  <m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  <m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  <m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  <m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  <m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  <m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  <m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  <m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  <m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  <m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  <m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  <m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  <m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  <m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  <m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  <m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  <m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  <m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  <m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  <m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  <m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  <m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  <m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  <m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  <m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  <m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  <m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  <m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  <m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  <m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  <m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  <m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  <m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  <m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  <m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  <m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  <m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  <m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  <m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  <m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  <m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  <m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  <m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  <m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  <m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  <m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  <m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  <m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  <m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  <m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  <m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  <m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  <m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  <m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  <m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  <m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  <m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  <m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  <m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  <m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  <m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  <m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  <m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  <m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  <m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  <m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  <m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  <m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  <m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  <m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  <m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  <m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  <m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  <m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  <m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  <m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  <m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  <m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  <m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  <m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  <m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  <m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  <m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  <m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  <m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  <m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  <m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  <m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  <m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  <m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  <m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  <m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  <m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  <m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  <m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  <m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  <m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  <m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  <m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  <m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  <m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  <m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  <m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  <m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  <m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  <m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  <m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  <m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  <m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  <m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  <m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  <m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  <m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  <m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  <m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  <m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  <m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  <m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  <m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  <m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  <m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  <m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  <m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  <m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  <m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  <m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  <m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  <m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  <m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  <m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  <m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  <m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  <m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  <m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  <m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  <m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  <m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  <m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  <m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  <m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  <m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  <m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  <m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  <m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  <m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  <m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  <m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  <m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  <m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  <m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  <m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  <m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  <m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  <m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  <m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  <m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  <m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  <m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  <m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  <m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  <m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  <m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  <m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  <m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  <m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  <m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  <m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  <m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  <m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  <m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  <m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  <m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  <m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  <m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  <m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  <m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  <m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  <m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  <m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  <m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  <m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  <m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  <m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  <m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  <m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  <m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  <m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  <m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  <m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  <m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  <m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  <m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  <m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  <m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  <m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  <m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  <m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  <m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  <m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  <m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  <m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  <m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  <m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  <m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  <m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  <m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  <m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  <m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  <m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  <m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  <m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  <m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  <m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  <m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  <m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  <m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  <m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  <m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  <m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  <m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  <m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  <m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  <m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  <m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  <m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  <m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  <m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  <m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  <m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  <m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  <m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  <m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  <m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  <m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  <m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  <m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  <m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  <m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  <m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  <m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  <m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  <m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  <m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  <m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  <m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  <m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  <m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  <m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  <m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  <m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  <m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  <m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  <m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  <m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  <m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  <m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  <m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  <m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  <m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  <m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  <m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  <m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  <m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  <m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  <m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  <m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  <m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  <m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  <m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  <m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  <m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  <m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  <m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  <m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  <m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  <m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  <m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  <m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  <m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  <m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  <m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  <m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  <m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  <m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  <m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  <m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  <m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  <m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  <m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  <m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  <m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  <m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  <m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  <m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  <m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  <m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  <m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  <m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  <m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  <m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  <m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  <m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  <m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  <m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  <m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  <m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  <m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  <m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  <m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  <m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  <m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  <m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  <m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  <m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  <m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  <m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  <m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  <m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  <m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  <m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  <m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  <m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  <m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  <m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  <m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  <m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  <m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  <m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  <m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  <m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  <m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  <m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  <m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  <m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  <m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  <m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  <m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  <m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  <m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  <m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  <m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  <m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  <m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  <m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  <m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  <m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  <m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  <m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  <m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  <m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  <m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  <m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  <m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  <m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  <m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  <m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  <m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  <m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  <m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  <m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  <m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  <m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  <m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  <m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  <m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  <m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  <m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  <m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  <m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  <m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  <m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  <m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  <m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  <m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  <m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  <m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  <m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  <m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  <m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  <m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  <m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  <m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  <m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  <m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  <m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  <m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  <m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  <m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  <m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  <m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  <m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  <m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  <m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  <m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  <m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  <m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  <m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  <m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  <m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  <m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  <m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  <m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  <m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  <m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  <m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  <m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  <m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  <m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  <m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  <m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  <m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  <m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  <m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  <m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  <m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  <m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  <m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  <m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  <m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  <m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  <m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  <m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  <m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  <m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  <m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  <m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  <m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  <m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  <m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  <m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  <m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  <m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  <m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  <m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  <m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  <m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  <m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  <m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  <m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  <m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  <m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  <m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  <m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  <m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  <m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  <m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  <m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  <m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  <m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  <m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  <m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  <m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  <m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  <m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  <m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  <m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  <m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  <m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  <m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  <m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  <m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  <m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  <m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  <m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  <m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  <m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  <m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  <m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  <m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  <m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  <m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  <m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  <m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  <m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  <m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  <m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  <m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  <m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  <m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  <m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  <m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  <m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  <m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  <m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  <m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  <m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  <m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  <m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  <m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  <m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  <m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  <m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  <m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  <m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  <m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  <m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  <m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  <m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  <m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  <m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  <m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  <m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  <m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  <m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  <m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  <m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  <m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  <m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  <m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  <m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  <m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  <m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  <m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  <m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  <m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  <m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  <m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  <m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  <m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  <m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  <m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  <m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  <m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  <m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  <m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  <m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  <m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  <m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  <m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  <m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  <m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  <m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  <m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  <m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  <m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  <m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  <m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  <m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  <m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  <m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  <m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  <m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  <m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  <m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  <m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  <m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  <m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  <m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  <m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  <m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  <m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  <m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  <m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  <m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  <m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  <m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  <m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  <m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  <m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  <m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  <m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  <m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  <m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  <m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  <m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  <m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  <m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  <m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  <m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  <m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  <m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  <m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  <m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  <m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  <m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  <m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  <m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  <m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  <m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  <m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  <m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  <m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  <m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  <m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  <m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  <m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  <m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  <m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  <m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  <m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  <m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  <m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  <m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  <m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  <m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  <m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  <m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  <m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  <m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  <m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  <m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  <m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  <m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  <m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  <m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  <m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  <m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  <m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  <m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  <m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  <m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  <m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  <m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  <m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  <m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  <m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  <m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  <m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  <m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  <m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  <m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  <m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  <m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  <m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  <m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  <m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  <m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  <m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  <m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  <m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  <m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  <m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  <m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  <m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  <m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  <m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  <m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  <m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  <m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  <m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  <m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  <m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  <m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  <m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  <m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  <m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  <m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  <m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  <m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  <m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  <m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  <m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  <m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  <m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  <m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  <m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  <m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  <m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  <m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  <m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  <m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  <m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  <m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  <m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  <m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  <m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  <m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  <m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  <m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  <m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  <m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  <m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  <m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  <m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  <m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  <m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  <m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  <m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  <m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  <m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  <m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  <m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  <m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  <m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  <m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  <m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  <m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  <m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  <m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  <m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  <m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  <m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  <m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  <m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  <m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  <m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  <m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  <m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  <m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  <m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  <m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  <m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  <m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  <m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  <m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  <m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  <m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  <m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  <m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  <m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  <m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  <m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  <m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  <m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  <m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  <m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  <m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  <m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  <m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  <m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  <m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  <m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  <m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  <m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  <m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  <m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  <m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  <m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  <m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  <m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  <m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  <m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  <m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  <m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  <m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  <m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  <m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  <m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  <m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  <m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  <m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  <m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  <m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  <m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  <m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  <m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  <m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  <m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  <m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  <m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  <m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  <m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  <m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  <m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  <m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  <m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  <m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  <m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  <m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  <m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  <m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  <m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  <m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  <m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  <m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  <m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  <m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  <m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  <m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  <m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  <m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  <m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  <m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  <m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  <m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  <m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  <m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  <m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  <m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  <m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  <m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  <m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  <m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  <m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  <m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  <m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  <m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  <m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  <m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  <m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  <m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  <m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  <m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  <m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  <m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  <m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  <m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  <m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  <m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  <m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  <m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  <m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  <m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  <m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  <m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  <m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  <m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  <m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  <m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  <m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  <m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  <m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  <m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  <m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  <m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  <m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  <m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  <m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  <m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  <m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  <m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  <m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  <m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  <m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  <m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  <m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  <m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  <m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  <m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  <m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  <m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  <m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  <m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  <m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  <m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  <m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  <m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  <m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  <m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  <m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  <m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  <m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  <m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  <m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  <m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  <m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  <m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  <m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  <m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  <m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  <m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  <m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  <m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  <m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  <m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  <m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  <m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  <m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  <m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  <m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  <m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  <m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  <m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  <m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  <m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  <m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  <m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  <m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  <m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  <m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  <m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  <m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  <m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  <m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  <m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  <m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  <m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  <m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  <m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  <m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  <m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  <m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  <m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  <m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  <m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  <m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  <m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  <m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  <m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  <m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  <m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  <m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  <m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  <m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  <m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  <m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  <m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  <m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  <m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  <m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  <m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  <m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  <m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  <m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  <m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  <m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  <m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  <m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  <m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  <m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  <m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  <m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  <m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  <m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  <m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  <m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  <m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  <m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  <m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  <m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  <m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  <m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  <m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  <m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  <m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  <m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  <m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  <m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  <m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  <m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  <m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  <m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  <m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  <m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  <m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  <m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  <m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  <m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  <m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  <m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  <m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  <m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  <m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  <m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  <m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  <m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  <m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  <m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  <m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  <m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  <m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  <m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  <m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  <m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  <m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  <m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  <m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  <m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  <m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  <m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  <m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  <m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  <m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  <m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  <m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  <m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  <m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  <m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  <m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  <m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  <m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  <m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  <m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  <m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  <m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  <m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  <m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  <m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  <m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  <m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  <m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  <m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  <m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  <m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  <m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  <m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  <m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  <m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  <m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  <m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  <m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  <m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  <m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  <m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  <m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  <m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  <m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  <m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  <m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  <m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  <m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  <m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  <m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  <m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  <m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  <m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  <m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  <m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  <m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  <m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  <m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  <m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  <m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  <m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  <m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  <m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  <m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  <m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  <m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  <m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  <m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  <m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  <m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  <m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  <m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  <m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  <m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  <m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  <m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  <m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  <m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  <m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  <m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  <m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  <m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  <m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  <m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  <m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  <m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  <m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  <m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  <m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  <m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  <m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  <m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  <m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  <m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  <m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  <m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  <m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  <m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  <m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  <m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  <m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  <m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  <m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  <m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  <m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  <m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  <m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  <m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  <m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  <m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  <m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  <m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  <m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  <m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  <m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  <m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  <m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  <m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  <m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  <m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  <m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  <m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  <m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  <m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  <m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  <m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  <m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  <m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  <m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  <m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  <m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  <m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  <m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  <m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  <m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  <m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  <m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  <m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  <m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  <m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  <m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  <m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  <m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  <m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  <m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  <m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  <m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  <m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  <m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  <m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  <m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  <m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  <m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  <m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  <m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  <m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  <m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  <m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  <m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  <m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  <m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  <m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  <m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  <m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  <m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  <m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  <m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  <m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  <m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  <m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  <m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  <m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  <m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  <m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  <m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  <m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  <m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  <m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  <m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  <m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  <m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  <m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  <m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  <m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  <m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  <m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  <m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  <m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  <m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  <m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  <m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  <m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  <m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  <m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  <m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  <m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  <m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  <m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x v="0"/>
    <n v="0"/>
    <n v="0"/>
    <n v="0"/>
    <m/>
    <n v="45.7"/>
    <m/>
    <n v="0"/>
  </r>
  <r>
    <s v="USR-100002"/>
    <d v="2025-03-08T00:00:00"/>
    <x v="0"/>
    <x v="1"/>
    <x v="1"/>
    <x v="1"/>
    <s v="Free"/>
    <n v="1"/>
    <n v="0"/>
    <n v="0"/>
    <x v="0"/>
    <n v="0"/>
    <n v="0"/>
    <n v="0"/>
    <m/>
    <n v="48.6"/>
    <m/>
    <n v="0"/>
  </r>
  <r>
    <s v="USR-100003"/>
    <d v="2025-04-24T00:00:00"/>
    <x v="0"/>
    <x v="2"/>
    <x v="1"/>
    <x v="2"/>
    <s v="Premium"/>
    <n v="1"/>
    <n v="0"/>
    <n v="0"/>
    <x v="0"/>
    <n v="0"/>
    <n v="1"/>
    <n v="0"/>
    <m/>
    <n v="35.4"/>
    <m/>
    <n v="1"/>
  </r>
  <r>
    <s v="USR-100004"/>
    <d v="2025-05-04T00:00:00"/>
    <x v="0"/>
    <x v="3"/>
    <x v="1"/>
    <x v="0"/>
    <s v="Basic"/>
    <n v="1"/>
    <n v="0"/>
    <n v="0"/>
    <x v="0"/>
    <n v="0"/>
    <n v="0"/>
    <n v="0"/>
    <m/>
    <n v="64.599999999999994"/>
    <m/>
    <n v="0"/>
  </r>
  <r>
    <s v="USR-100005"/>
    <d v="2025-02-12T00:00:00"/>
    <x v="0"/>
    <x v="0"/>
    <x v="2"/>
    <x v="1"/>
    <s v="Free"/>
    <n v="0"/>
    <n v="0"/>
    <n v="0"/>
    <x v="0"/>
    <n v="0"/>
    <n v="0"/>
    <n v="0"/>
    <m/>
    <n v="66.599999999999994"/>
    <m/>
    <n v="0"/>
  </r>
  <r>
    <s v="USR-100006"/>
    <d v="2025-01-28T00:00:00"/>
    <x v="0"/>
    <x v="2"/>
    <x v="1"/>
    <x v="1"/>
    <s v="Premium"/>
    <n v="1"/>
    <n v="0"/>
    <n v="0"/>
    <x v="0"/>
    <n v="0"/>
    <n v="0"/>
    <n v="0"/>
    <m/>
    <n v="40.799999999999997"/>
    <m/>
    <n v="0"/>
  </r>
  <r>
    <s v="USR-100007"/>
    <d v="2025-04-08T00:00:00"/>
    <x v="0"/>
    <x v="2"/>
    <x v="1"/>
    <x v="2"/>
    <s v="Basic"/>
    <n v="1"/>
    <n v="1"/>
    <n v="0"/>
    <x v="0"/>
    <n v="0"/>
    <n v="0"/>
    <n v="0"/>
    <m/>
    <n v="57.1"/>
    <m/>
    <n v="0"/>
  </r>
  <r>
    <s v="USR-100008"/>
    <d v="2025-05-17T00:00:00"/>
    <x v="0"/>
    <x v="3"/>
    <x v="1"/>
    <x v="2"/>
    <s v="Free"/>
    <n v="0"/>
    <n v="0"/>
    <n v="0"/>
    <x v="0"/>
    <n v="0"/>
    <n v="0"/>
    <n v="0"/>
    <m/>
    <n v="36.4"/>
    <m/>
    <n v="0"/>
  </r>
  <r>
    <s v="USR-100009"/>
    <d v="2025-02-23T00:00:00"/>
    <x v="0"/>
    <x v="3"/>
    <x v="2"/>
    <x v="3"/>
    <s v="Basic"/>
    <n v="0"/>
    <n v="0"/>
    <n v="0"/>
    <x v="0"/>
    <n v="0"/>
    <n v="0"/>
    <n v="0"/>
    <m/>
    <n v="55.4"/>
    <m/>
    <n v="0"/>
  </r>
  <r>
    <s v="USR-100010"/>
    <d v="2025-05-29T00:00:00"/>
    <x v="0"/>
    <x v="1"/>
    <x v="0"/>
    <x v="4"/>
    <s v="Free"/>
    <n v="1"/>
    <n v="0"/>
    <n v="0"/>
    <x v="0"/>
    <n v="0"/>
    <n v="0"/>
    <n v="0"/>
    <m/>
    <n v="57.3"/>
    <m/>
    <n v="0"/>
  </r>
  <r>
    <s v="USR-100011"/>
    <d v="2025-04-30T00:00:00"/>
    <x v="0"/>
    <x v="2"/>
    <x v="1"/>
    <x v="2"/>
    <s v="Basic"/>
    <n v="1"/>
    <n v="1"/>
    <n v="1"/>
    <x v="0"/>
    <n v="0"/>
    <n v="0"/>
    <n v="0"/>
    <m/>
    <n v="63.6"/>
    <m/>
    <n v="0"/>
  </r>
  <r>
    <s v="USR-100012"/>
    <d v="2025-03-16T00:00:00"/>
    <x v="0"/>
    <x v="2"/>
    <x v="1"/>
    <x v="4"/>
    <s v="Premium"/>
    <n v="1"/>
    <n v="1"/>
    <n v="1"/>
    <x v="0"/>
    <n v="0"/>
    <n v="1"/>
    <n v="0"/>
    <m/>
    <n v="80.400000000000006"/>
    <m/>
    <n v="1"/>
  </r>
  <r>
    <s v="USR-100013"/>
    <d v="2025-02-07T00:00:00"/>
    <x v="0"/>
    <x v="3"/>
    <x v="0"/>
    <x v="0"/>
    <s v="Basic"/>
    <n v="1"/>
    <n v="0"/>
    <n v="0"/>
    <x v="0"/>
    <n v="0"/>
    <n v="0"/>
    <n v="0"/>
    <m/>
    <n v="62.4"/>
    <m/>
    <n v="0"/>
  </r>
  <r>
    <s v="USR-100014"/>
    <d v="2025-03-02T00:00:00"/>
    <x v="0"/>
    <x v="1"/>
    <x v="1"/>
    <x v="4"/>
    <s v="Basic"/>
    <n v="1"/>
    <n v="0"/>
    <n v="0"/>
    <x v="0"/>
    <n v="0"/>
    <n v="0"/>
    <n v="0"/>
    <m/>
    <n v="82.4"/>
    <m/>
    <n v="0"/>
  </r>
  <r>
    <s v="USR-100015"/>
    <d v="2025-05-30T00:00:00"/>
    <x v="0"/>
    <x v="3"/>
    <x v="1"/>
    <x v="1"/>
    <s v="Basic"/>
    <n v="0"/>
    <n v="0"/>
    <n v="0"/>
    <x v="0"/>
    <n v="0"/>
    <n v="0"/>
    <n v="0"/>
    <m/>
    <n v="61.2"/>
    <m/>
    <n v="0"/>
  </r>
  <r>
    <s v="USR-100016"/>
    <d v="2025-03-25T00:00:00"/>
    <x v="0"/>
    <x v="3"/>
    <x v="1"/>
    <x v="4"/>
    <s v="Basic"/>
    <n v="1"/>
    <n v="0"/>
    <n v="0"/>
    <x v="0"/>
    <n v="0"/>
    <n v="0"/>
    <n v="0"/>
    <m/>
    <n v="68.900000000000006"/>
    <m/>
    <n v="0"/>
  </r>
  <r>
    <s v="USR-100017"/>
    <d v="2025-03-27T00:00:00"/>
    <x v="0"/>
    <x v="2"/>
    <x v="0"/>
    <x v="2"/>
    <s v="Free"/>
    <n v="1"/>
    <n v="1"/>
    <n v="1"/>
    <x v="0"/>
    <n v="0"/>
    <n v="0"/>
    <n v="0"/>
    <m/>
    <n v="71.900000000000006"/>
    <m/>
    <n v="0"/>
  </r>
  <r>
    <s v="USR-100018"/>
    <d v="2025-05-28T00:00:00"/>
    <x v="0"/>
    <x v="3"/>
    <x v="0"/>
    <x v="2"/>
    <s v="Free"/>
    <n v="0"/>
    <n v="0"/>
    <n v="0"/>
    <x v="0"/>
    <n v="0"/>
    <n v="0"/>
    <n v="0"/>
    <m/>
    <n v="50.5"/>
    <m/>
    <n v="0"/>
  </r>
  <r>
    <s v="USR-100019"/>
    <d v="2025-02-15T00:00:00"/>
    <x v="0"/>
    <x v="0"/>
    <x v="0"/>
    <x v="2"/>
    <s v="Basic"/>
    <n v="0"/>
    <n v="0"/>
    <n v="0"/>
    <x v="0"/>
    <n v="0"/>
    <n v="0"/>
    <n v="0"/>
    <m/>
    <n v="49.3"/>
    <m/>
    <n v="0"/>
  </r>
  <r>
    <s v="USR-100020"/>
    <d v="2025-05-05T00:00:00"/>
    <x v="0"/>
    <x v="1"/>
    <x v="0"/>
    <x v="1"/>
    <s v="Basic"/>
    <n v="0"/>
    <n v="0"/>
    <n v="0"/>
    <x v="0"/>
    <n v="0"/>
    <n v="2"/>
    <n v="0"/>
    <m/>
    <n v="60.9"/>
    <m/>
    <n v="1"/>
  </r>
  <r>
    <s v="USR-100021"/>
    <d v="2025-04-13T00:00:00"/>
    <x v="0"/>
    <x v="2"/>
    <x v="1"/>
    <x v="4"/>
    <s v="Free"/>
    <n v="1"/>
    <n v="0"/>
    <n v="0"/>
    <x v="0"/>
    <n v="0"/>
    <n v="0"/>
    <n v="0"/>
    <m/>
    <n v="62.7"/>
    <m/>
    <n v="0"/>
  </r>
  <r>
    <s v="USR-100022"/>
    <d v="2025-05-07T00:00:00"/>
    <x v="0"/>
    <x v="0"/>
    <x v="0"/>
    <x v="2"/>
    <s v="Free"/>
    <n v="0"/>
    <n v="0"/>
    <n v="0"/>
    <x v="0"/>
    <n v="0"/>
    <n v="0"/>
    <n v="0"/>
    <m/>
    <n v="52.7"/>
    <m/>
    <n v="0"/>
  </r>
  <r>
    <s v="USR-100023"/>
    <d v="2025-05-25T00:00:00"/>
    <x v="0"/>
    <x v="0"/>
    <x v="0"/>
    <x v="1"/>
    <s v="Free"/>
    <n v="0"/>
    <n v="0"/>
    <n v="0"/>
    <x v="0"/>
    <n v="0"/>
    <n v="0"/>
    <n v="0"/>
    <m/>
    <n v="54"/>
    <m/>
    <n v="0"/>
  </r>
  <r>
    <s v="USR-100024"/>
    <d v="2025-04-01T00:00:00"/>
    <x v="0"/>
    <x v="2"/>
    <x v="1"/>
    <x v="2"/>
    <s v="Premium"/>
    <n v="1"/>
    <n v="1"/>
    <n v="0"/>
    <x v="0"/>
    <n v="0"/>
    <n v="0"/>
    <n v="0"/>
    <m/>
    <n v="51.6"/>
    <m/>
    <n v="0"/>
  </r>
  <r>
    <s v="USR-100025"/>
    <d v="2025-02-22T00:00:00"/>
    <x v="0"/>
    <x v="0"/>
    <x v="1"/>
    <x v="2"/>
    <s v="Premium"/>
    <n v="0"/>
    <n v="0"/>
    <n v="0"/>
    <x v="0"/>
    <n v="0"/>
    <n v="2"/>
    <n v="0"/>
    <m/>
    <n v="66.900000000000006"/>
    <m/>
    <n v="1"/>
  </r>
  <r>
    <s v="USR-100026"/>
    <d v="2025-03-24T00:00:00"/>
    <x v="0"/>
    <x v="2"/>
    <x v="1"/>
    <x v="1"/>
    <s v="Basic"/>
    <n v="0"/>
    <n v="0"/>
    <n v="0"/>
    <x v="0"/>
    <n v="0"/>
    <n v="0"/>
    <n v="0"/>
    <m/>
    <n v="67.400000000000006"/>
    <m/>
    <n v="0"/>
  </r>
  <r>
    <s v="USR-100027"/>
    <d v="2025-02-13T00:00:00"/>
    <x v="0"/>
    <x v="0"/>
    <x v="1"/>
    <x v="1"/>
    <s v="Free"/>
    <n v="0"/>
    <n v="0"/>
    <n v="0"/>
    <x v="0"/>
    <n v="0"/>
    <n v="0"/>
    <n v="0"/>
    <m/>
    <n v="58.8"/>
    <m/>
    <n v="0"/>
  </r>
  <r>
    <s v="USR-100028"/>
    <d v="2025-05-30T00:00:00"/>
    <x v="0"/>
    <x v="3"/>
    <x v="1"/>
    <x v="1"/>
    <s v="Free"/>
    <n v="1"/>
    <n v="0"/>
    <n v="0"/>
    <x v="0"/>
    <n v="0"/>
    <n v="0"/>
    <n v="0"/>
    <m/>
    <n v="73.8"/>
    <m/>
    <n v="0"/>
  </r>
  <r>
    <s v="USR-100029"/>
    <d v="2025-01-20T00:00:00"/>
    <x v="0"/>
    <x v="2"/>
    <x v="2"/>
    <x v="1"/>
    <s v="Basic"/>
    <n v="0"/>
    <n v="0"/>
    <n v="0"/>
    <x v="0"/>
    <n v="0"/>
    <n v="0"/>
    <n v="0"/>
    <m/>
    <n v="60.1"/>
    <m/>
    <n v="0"/>
  </r>
  <r>
    <s v="USR-100030"/>
    <d v="2025-05-19T00:00:00"/>
    <x v="0"/>
    <x v="2"/>
    <x v="1"/>
    <x v="4"/>
    <s v="Basic"/>
    <n v="1"/>
    <n v="1"/>
    <n v="1"/>
    <x v="0"/>
    <n v="0"/>
    <n v="0"/>
    <n v="0"/>
    <m/>
    <n v="41"/>
    <m/>
    <n v="0"/>
  </r>
  <r>
    <s v="USR-100031"/>
    <d v="2025-02-18T00:00:00"/>
    <x v="0"/>
    <x v="3"/>
    <x v="1"/>
    <x v="1"/>
    <s v="Basic"/>
    <n v="1"/>
    <n v="0"/>
    <n v="0"/>
    <x v="0"/>
    <n v="0"/>
    <n v="0"/>
    <n v="0"/>
    <m/>
    <n v="80.3"/>
    <m/>
    <n v="0"/>
  </r>
  <r>
    <s v="USR-100032"/>
    <d v="2025-02-13T00:00:00"/>
    <x v="0"/>
    <x v="2"/>
    <x v="1"/>
    <x v="1"/>
    <s v="Free"/>
    <n v="0"/>
    <n v="0"/>
    <n v="0"/>
    <x v="0"/>
    <n v="0"/>
    <n v="0"/>
    <n v="0"/>
    <m/>
    <n v="67.599999999999994"/>
    <m/>
    <n v="0"/>
  </r>
  <r>
    <s v="USR-100033"/>
    <d v="2025-03-08T00:00:00"/>
    <x v="0"/>
    <x v="2"/>
    <x v="0"/>
    <x v="3"/>
    <s v="Premium"/>
    <n v="0"/>
    <n v="0"/>
    <n v="0"/>
    <x v="0"/>
    <n v="0"/>
    <n v="0"/>
    <n v="0"/>
    <m/>
    <n v="64"/>
    <m/>
    <n v="0"/>
  </r>
  <r>
    <s v="USR-100034"/>
    <d v="2025-01-11T00:00:00"/>
    <x v="0"/>
    <x v="0"/>
    <x v="1"/>
    <x v="2"/>
    <s v="Free"/>
    <n v="1"/>
    <n v="1"/>
    <n v="0"/>
    <x v="0"/>
    <n v="0"/>
    <n v="0"/>
    <n v="0"/>
    <m/>
    <n v="27.2"/>
    <m/>
    <n v="0"/>
  </r>
  <r>
    <s v="USR-100035"/>
    <d v="2025-02-12T00:00:00"/>
    <x v="0"/>
    <x v="0"/>
    <x v="0"/>
    <x v="1"/>
    <s v="Free"/>
    <n v="1"/>
    <n v="0"/>
    <n v="0"/>
    <x v="0"/>
    <n v="0"/>
    <n v="0"/>
    <n v="0"/>
    <m/>
    <n v="85.4"/>
    <m/>
    <n v="0"/>
  </r>
  <r>
    <s v="USR-100036"/>
    <d v="2025-04-13T00:00:00"/>
    <x v="0"/>
    <x v="2"/>
    <x v="0"/>
    <x v="1"/>
    <s v="Basic"/>
    <n v="1"/>
    <n v="0"/>
    <n v="0"/>
    <x v="0"/>
    <n v="0"/>
    <n v="0"/>
    <n v="0"/>
    <m/>
    <n v="75.900000000000006"/>
    <m/>
    <n v="0"/>
  </r>
  <r>
    <s v="USR-100037"/>
    <d v="2025-05-09T00:00:00"/>
    <x v="0"/>
    <x v="2"/>
    <x v="1"/>
    <x v="1"/>
    <s v="Premium"/>
    <n v="1"/>
    <n v="0"/>
    <n v="0"/>
    <x v="0"/>
    <n v="0"/>
    <n v="1"/>
    <n v="0"/>
    <m/>
    <n v="34.799999999999997"/>
    <m/>
    <n v="1"/>
  </r>
  <r>
    <s v="USR-100038"/>
    <d v="2025-01-20T00:00:00"/>
    <x v="0"/>
    <x v="2"/>
    <x v="1"/>
    <x v="1"/>
    <s v="Free"/>
    <n v="1"/>
    <n v="1"/>
    <n v="1"/>
    <x v="0"/>
    <n v="0"/>
    <n v="3"/>
    <n v="0"/>
    <m/>
    <n v="48.9"/>
    <m/>
    <n v="1"/>
  </r>
  <r>
    <s v="USR-100039"/>
    <d v="2025-05-13T00:00:00"/>
    <x v="0"/>
    <x v="2"/>
    <x v="1"/>
    <x v="0"/>
    <s v="Premium"/>
    <n v="1"/>
    <n v="0"/>
    <n v="0"/>
    <x v="0"/>
    <n v="0"/>
    <n v="0"/>
    <n v="0"/>
    <m/>
    <n v="41.5"/>
    <m/>
    <n v="0"/>
  </r>
  <r>
    <s v="USR-100040"/>
    <d v="2025-04-07T00:00:00"/>
    <x v="0"/>
    <x v="0"/>
    <x v="0"/>
    <x v="1"/>
    <s v="Basic"/>
    <n v="1"/>
    <n v="0"/>
    <n v="0"/>
    <x v="0"/>
    <n v="0"/>
    <n v="0"/>
    <n v="0"/>
    <m/>
    <n v="51.5"/>
    <m/>
    <n v="0"/>
  </r>
  <r>
    <s v="USR-100041"/>
    <d v="2025-03-31T00:00:00"/>
    <x v="0"/>
    <x v="0"/>
    <x v="0"/>
    <x v="1"/>
    <s v="Free"/>
    <n v="0"/>
    <n v="0"/>
    <n v="0"/>
    <x v="0"/>
    <n v="0"/>
    <n v="0"/>
    <n v="0"/>
    <m/>
    <n v="53.2"/>
    <m/>
    <n v="0"/>
  </r>
  <r>
    <s v="USR-100042"/>
    <d v="2025-01-25T00:00:00"/>
    <x v="0"/>
    <x v="2"/>
    <x v="1"/>
    <x v="0"/>
    <s v="Premium"/>
    <n v="0"/>
    <n v="0"/>
    <n v="0"/>
    <x v="0"/>
    <n v="0"/>
    <n v="0"/>
    <n v="0"/>
    <m/>
    <n v="55.6"/>
    <m/>
    <n v="0"/>
  </r>
  <r>
    <s v="USR-100043"/>
    <d v="2025-02-14T00:00:00"/>
    <x v="0"/>
    <x v="3"/>
    <x v="0"/>
    <x v="1"/>
    <s v="Free"/>
    <n v="0"/>
    <n v="0"/>
    <n v="0"/>
    <x v="0"/>
    <n v="0"/>
    <n v="0"/>
    <n v="0"/>
    <m/>
    <n v="73"/>
    <m/>
    <n v="0"/>
  </r>
  <r>
    <s v="USR-100044"/>
    <d v="2025-02-27T00:00:00"/>
    <x v="0"/>
    <x v="2"/>
    <x v="1"/>
    <x v="0"/>
    <s v="Free"/>
    <n v="1"/>
    <n v="0"/>
    <n v="0"/>
    <x v="0"/>
    <n v="0"/>
    <n v="0"/>
    <n v="0"/>
    <m/>
    <n v="65"/>
    <m/>
    <n v="0"/>
  </r>
  <r>
    <s v="USR-100045"/>
    <d v="2025-03-28T00:00:00"/>
    <x v="0"/>
    <x v="2"/>
    <x v="1"/>
    <x v="4"/>
    <s v="Free"/>
    <n v="1"/>
    <n v="0"/>
    <n v="0"/>
    <x v="0"/>
    <n v="0"/>
    <n v="4"/>
    <n v="0"/>
    <m/>
    <n v="56.3"/>
    <m/>
    <n v="1"/>
  </r>
  <r>
    <s v="USR-100046"/>
    <d v="2025-05-25T00:00:00"/>
    <x v="0"/>
    <x v="2"/>
    <x v="1"/>
    <x v="3"/>
    <s v="Premium"/>
    <n v="1"/>
    <n v="0"/>
    <n v="0"/>
    <x v="0"/>
    <n v="0"/>
    <n v="0"/>
    <n v="0"/>
    <m/>
    <n v="62.4"/>
    <m/>
    <n v="0"/>
  </r>
  <r>
    <s v="USR-100047"/>
    <d v="2025-05-05T00:00:00"/>
    <x v="0"/>
    <x v="1"/>
    <x v="0"/>
    <x v="1"/>
    <s v="Free"/>
    <n v="1"/>
    <n v="1"/>
    <n v="1"/>
    <x v="0"/>
    <n v="0"/>
    <n v="0"/>
    <n v="0"/>
    <m/>
    <n v="58.1"/>
    <m/>
    <n v="0"/>
  </r>
  <r>
    <s v="USR-100048"/>
    <d v="2025-05-16T00:00:00"/>
    <x v="0"/>
    <x v="0"/>
    <x v="1"/>
    <x v="1"/>
    <s v="Free"/>
    <n v="1"/>
    <n v="1"/>
    <n v="1"/>
    <x v="0"/>
    <n v="0"/>
    <n v="0"/>
    <n v="0"/>
    <m/>
    <n v="80.8"/>
    <m/>
    <n v="0"/>
  </r>
  <r>
    <s v="USR-100049"/>
    <d v="2025-01-08T00:00:00"/>
    <x v="0"/>
    <x v="0"/>
    <x v="1"/>
    <x v="4"/>
    <s v="Free"/>
    <n v="1"/>
    <n v="1"/>
    <n v="0"/>
    <x v="0"/>
    <n v="0"/>
    <n v="0"/>
    <n v="0"/>
    <m/>
    <n v="42.9"/>
    <m/>
    <n v="0"/>
  </r>
  <r>
    <s v="USR-100050"/>
    <d v="2025-01-06T00:00:00"/>
    <x v="0"/>
    <x v="1"/>
    <x v="0"/>
    <x v="2"/>
    <s v="Free"/>
    <n v="1"/>
    <n v="0"/>
    <n v="0"/>
    <x v="0"/>
    <n v="0"/>
    <n v="0"/>
    <n v="0"/>
    <m/>
    <n v="52.7"/>
    <m/>
    <n v="0"/>
  </r>
  <r>
    <s v="USR-100051"/>
    <d v="2025-01-12T00:00:00"/>
    <x v="0"/>
    <x v="0"/>
    <x v="1"/>
    <x v="4"/>
    <s v="Basic"/>
    <n v="0"/>
    <n v="0"/>
    <n v="0"/>
    <x v="0"/>
    <n v="0"/>
    <n v="0"/>
    <n v="0"/>
    <m/>
    <n v="46.9"/>
    <m/>
    <n v="0"/>
  </r>
  <r>
    <s v="USR-100052"/>
    <d v="2025-02-14T00:00:00"/>
    <x v="0"/>
    <x v="2"/>
    <x v="0"/>
    <x v="0"/>
    <s v="Premium"/>
    <n v="1"/>
    <n v="0"/>
    <n v="0"/>
    <x v="0"/>
    <n v="0"/>
    <n v="0"/>
    <n v="0"/>
    <m/>
    <n v="63"/>
    <m/>
    <n v="0"/>
  </r>
  <r>
    <s v="USR-100053"/>
    <d v="2025-03-10T00:00:00"/>
    <x v="0"/>
    <x v="3"/>
    <x v="2"/>
    <x v="1"/>
    <s v="Free"/>
    <n v="0"/>
    <n v="0"/>
    <n v="0"/>
    <x v="0"/>
    <n v="0"/>
    <n v="0"/>
    <n v="0"/>
    <m/>
    <n v="53.6"/>
    <m/>
    <n v="0"/>
  </r>
  <r>
    <s v="USR-100054"/>
    <d v="2025-04-20T00:00:00"/>
    <x v="0"/>
    <x v="1"/>
    <x v="0"/>
    <x v="1"/>
    <s v="Basic"/>
    <n v="0"/>
    <n v="0"/>
    <n v="0"/>
    <x v="0"/>
    <n v="0"/>
    <n v="0"/>
    <n v="0"/>
    <m/>
    <n v="49.6"/>
    <m/>
    <n v="0"/>
  </r>
  <r>
    <s v="USR-100055"/>
    <d v="2025-02-19T00:00:00"/>
    <x v="0"/>
    <x v="3"/>
    <x v="1"/>
    <x v="1"/>
    <s v="Free"/>
    <n v="0"/>
    <n v="0"/>
    <n v="0"/>
    <x v="0"/>
    <n v="0"/>
    <n v="0"/>
    <n v="0"/>
    <m/>
    <n v="54"/>
    <m/>
    <n v="0"/>
  </r>
  <r>
    <s v="USR-100056"/>
    <d v="2025-05-17T00:00:00"/>
    <x v="0"/>
    <x v="3"/>
    <x v="1"/>
    <x v="4"/>
    <s v="Basic"/>
    <n v="1"/>
    <n v="0"/>
    <n v="0"/>
    <x v="0"/>
    <n v="0"/>
    <n v="2"/>
    <n v="0"/>
    <m/>
    <n v="50"/>
    <m/>
    <n v="1"/>
  </r>
  <r>
    <s v="USR-100057"/>
    <d v="2025-04-01T00:00:00"/>
    <x v="0"/>
    <x v="2"/>
    <x v="1"/>
    <x v="4"/>
    <s v="Basic"/>
    <n v="0"/>
    <n v="0"/>
    <n v="0"/>
    <x v="0"/>
    <n v="0"/>
    <n v="0"/>
    <n v="0"/>
    <m/>
    <n v="48.1"/>
    <m/>
    <n v="0"/>
  </r>
  <r>
    <s v="USR-100058"/>
    <d v="2025-02-04T00:00:00"/>
    <x v="0"/>
    <x v="0"/>
    <x v="0"/>
    <x v="1"/>
    <s v="Free"/>
    <n v="1"/>
    <n v="0"/>
    <n v="0"/>
    <x v="0"/>
    <n v="0"/>
    <n v="0"/>
    <n v="0"/>
    <m/>
    <n v="49.6"/>
    <m/>
    <n v="0"/>
  </r>
  <r>
    <s v="USR-100059"/>
    <d v="2025-04-14T00:00:00"/>
    <x v="0"/>
    <x v="0"/>
    <x v="1"/>
    <x v="4"/>
    <s v="Free"/>
    <n v="0"/>
    <n v="0"/>
    <n v="0"/>
    <x v="0"/>
    <n v="0"/>
    <n v="2"/>
    <n v="0"/>
    <m/>
    <n v="48.9"/>
    <m/>
    <n v="1"/>
  </r>
  <r>
    <s v="USR-100060"/>
    <d v="2025-01-01T00:00:00"/>
    <x v="0"/>
    <x v="1"/>
    <x v="1"/>
    <x v="4"/>
    <s v="Free"/>
    <n v="1"/>
    <n v="1"/>
    <n v="1"/>
    <x v="1"/>
    <n v="240.42"/>
    <n v="0"/>
    <n v="0"/>
    <n v="16"/>
    <n v="56.5"/>
    <m/>
    <n v="0"/>
  </r>
  <r>
    <s v="USR-100061"/>
    <d v="2025-04-02T00:00:00"/>
    <x v="0"/>
    <x v="3"/>
    <x v="1"/>
    <x v="3"/>
    <s v="Free"/>
    <n v="1"/>
    <n v="0"/>
    <n v="0"/>
    <x v="0"/>
    <n v="0"/>
    <n v="0"/>
    <n v="0"/>
    <m/>
    <n v="53.7"/>
    <m/>
    <n v="0"/>
  </r>
  <r>
    <s v="USR-100062"/>
    <d v="2025-03-29T00:00:00"/>
    <x v="0"/>
    <x v="0"/>
    <x v="1"/>
    <x v="4"/>
    <s v="Premium"/>
    <n v="0"/>
    <n v="0"/>
    <n v="0"/>
    <x v="0"/>
    <n v="0"/>
    <n v="0"/>
    <n v="0"/>
    <m/>
    <n v="62.2"/>
    <m/>
    <n v="0"/>
  </r>
  <r>
    <s v="USR-100063"/>
    <d v="2025-05-15T00:00:00"/>
    <x v="0"/>
    <x v="3"/>
    <x v="0"/>
    <x v="1"/>
    <s v="Free"/>
    <n v="1"/>
    <n v="0"/>
    <n v="0"/>
    <x v="0"/>
    <n v="0"/>
    <n v="0"/>
    <n v="0"/>
    <m/>
    <n v="50.2"/>
    <m/>
    <n v="0"/>
  </r>
  <r>
    <s v="USR-100064"/>
    <d v="2025-04-11T00:00:00"/>
    <x v="0"/>
    <x v="0"/>
    <x v="1"/>
    <x v="1"/>
    <s v="Basic"/>
    <n v="1"/>
    <n v="0"/>
    <n v="0"/>
    <x v="0"/>
    <n v="0"/>
    <n v="0"/>
    <n v="0"/>
    <m/>
    <n v="74.3"/>
    <m/>
    <n v="0"/>
  </r>
  <r>
    <s v="USR-100065"/>
    <d v="2025-03-07T00:00:00"/>
    <x v="0"/>
    <x v="3"/>
    <x v="0"/>
    <x v="2"/>
    <s v="Free"/>
    <n v="1"/>
    <n v="0"/>
    <n v="0"/>
    <x v="0"/>
    <n v="0"/>
    <n v="0"/>
    <n v="0"/>
    <m/>
    <n v="58"/>
    <m/>
    <n v="0"/>
  </r>
  <r>
    <s v="USR-100066"/>
    <d v="2025-05-30T00:00:00"/>
    <x v="0"/>
    <x v="3"/>
    <x v="1"/>
    <x v="1"/>
    <s v="Free"/>
    <n v="0"/>
    <n v="0"/>
    <n v="0"/>
    <x v="0"/>
    <n v="0"/>
    <n v="0"/>
    <n v="0"/>
    <m/>
    <n v="46.7"/>
    <m/>
    <n v="0"/>
  </r>
  <r>
    <s v="USR-100067"/>
    <d v="2025-01-07T00:00:00"/>
    <x v="0"/>
    <x v="3"/>
    <x v="0"/>
    <x v="1"/>
    <s v="Premium"/>
    <n v="1"/>
    <n v="0"/>
    <n v="0"/>
    <x v="0"/>
    <n v="0"/>
    <n v="1"/>
    <n v="0"/>
    <m/>
    <n v="49.6"/>
    <m/>
    <n v="1"/>
  </r>
  <r>
    <s v="USR-100068"/>
    <d v="2025-05-08T00:00:00"/>
    <x v="0"/>
    <x v="1"/>
    <x v="1"/>
    <x v="4"/>
    <s v="Free"/>
    <n v="0"/>
    <n v="0"/>
    <n v="0"/>
    <x v="0"/>
    <n v="0"/>
    <n v="0"/>
    <n v="0"/>
    <m/>
    <n v="60.4"/>
    <m/>
    <n v="0"/>
  </r>
  <r>
    <s v="USR-100069"/>
    <d v="2025-03-19T00:00:00"/>
    <x v="0"/>
    <x v="2"/>
    <x v="0"/>
    <x v="0"/>
    <s v="Free"/>
    <n v="1"/>
    <n v="1"/>
    <n v="1"/>
    <x v="0"/>
    <n v="0"/>
    <n v="0"/>
    <n v="0"/>
    <m/>
    <n v="55.3"/>
    <m/>
    <n v="0"/>
  </r>
  <r>
    <s v="USR-100070"/>
    <d v="2025-05-16T00:00:00"/>
    <x v="0"/>
    <x v="0"/>
    <x v="0"/>
    <x v="1"/>
    <s v="Free"/>
    <n v="0"/>
    <n v="0"/>
    <n v="0"/>
    <x v="0"/>
    <n v="0"/>
    <n v="0"/>
    <n v="0"/>
    <m/>
    <n v="56.2"/>
    <m/>
    <n v="0"/>
  </r>
  <r>
    <s v="USR-100071"/>
    <d v="2025-03-08T00:00:00"/>
    <x v="0"/>
    <x v="1"/>
    <x v="1"/>
    <x v="0"/>
    <s v="Free"/>
    <n v="0"/>
    <n v="0"/>
    <n v="0"/>
    <x v="0"/>
    <n v="0"/>
    <n v="0"/>
    <n v="0"/>
    <m/>
    <n v="29.4"/>
    <m/>
    <n v="0"/>
  </r>
  <r>
    <s v="USR-100072"/>
    <d v="2025-03-08T00:00:00"/>
    <x v="0"/>
    <x v="2"/>
    <x v="1"/>
    <x v="0"/>
    <s v="Free"/>
    <n v="1"/>
    <n v="0"/>
    <n v="0"/>
    <x v="0"/>
    <n v="0"/>
    <n v="0"/>
    <n v="0"/>
    <m/>
    <n v="54.2"/>
    <m/>
    <n v="0"/>
  </r>
  <r>
    <s v="USR-100073"/>
    <d v="2025-01-14T00:00:00"/>
    <x v="0"/>
    <x v="2"/>
    <x v="0"/>
    <x v="2"/>
    <s v="Basic"/>
    <n v="0"/>
    <n v="0"/>
    <n v="0"/>
    <x v="0"/>
    <n v="0"/>
    <n v="0"/>
    <n v="0"/>
    <m/>
    <n v="46.4"/>
    <m/>
    <n v="0"/>
  </r>
  <r>
    <s v="USR-100074"/>
    <d v="2025-02-10T00:00:00"/>
    <x v="0"/>
    <x v="3"/>
    <x v="1"/>
    <x v="2"/>
    <s v="Basic"/>
    <n v="0"/>
    <n v="0"/>
    <n v="0"/>
    <x v="0"/>
    <n v="0"/>
    <n v="0"/>
    <n v="0"/>
    <m/>
    <n v="54.5"/>
    <m/>
    <n v="0"/>
  </r>
  <r>
    <s v="USR-100075"/>
    <d v="2025-03-17T00:00:00"/>
    <x v="0"/>
    <x v="0"/>
    <x v="1"/>
    <x v="1"/>
    <s v="Free"/>
    <n v="0"/>
    <n v="0"/>
    <n v="0"/>
    <x v="0"/>
    <n v="0"/>
    <n v="0"/>
    <n v="0"/>
    <m/>
    <n v="58.5"/>
    <m/>
    <n v="0"/>
  </r>
  <r>
    <s v="USR-100076"/>
    <d v="2025-01-09T00:00:00"/>
    <x v="0"/>
    <x v="3"/>
    <x v="1"/>
    <x v="0"/>
    <s v="Free"/>
    <n v="0"/>
    <n v="0"/>
    <n v="0"/>
    <x v="0"/>
    <n v="0"/>
    <n v="0"/>
    <n v="0"/>
    <m/>
    <n v="75.900000000000006"/>
    <m/>
    <n v="0"/>
  </r>
  <r>
    <s v="USR-100077"/>
    <d v="2025-04-17T00:00:00"/>
    <x v="0"/>
    <x v="0"/>
    <x v="1"/>
    <x v="3"/>
    <s v="Free"/>
    <n v="0"/>
    <n v="0"/>
    <n v="0"/>
    <x v="0"/>
    <n v="0"/>
    <n v="1"/>
    <n v="0"/>
    <m/>
    <n v="84.9"/>
    <m/>
    <n v="1"/>
  </r>
  <r>
    <s v="USR-100078"/>
    <d v="2025-01-16T00:00:00"/>
    <x v="0"/>
    <x v="0"/>
    <x v="1"/>
    <x v="1"/>
    <s v="Free"/>
    <n v="0"/>
    <n v="0"/>
    <n v="0"/>
    <x v="0"/>
    <n v="0"/>
    <n v="2"/>
    <n v="0"/>
    <m/>
    <n v="48.4"/>
    <m/>
    <n v="1"/>
  </r>
  <r>
    <s v="USR-100079"/>
    <d v="2025-02-20T00:00:00"/>
    <x v="0"/>
    <x v="1"/>
    <x v="0"/>
    <x v="1"/>
    <s v="Free"/>
    <n v="1"/>
    <n v="1"/>
    <n v="1"/>
    <x v="1"/>
    <n v="457.51"/>
    <n v="0"/>
    <n v="0"/>
    <n v="7"/>
    <n v="38"/>
    <m/>
    <n v="0"/>
  </r>
  <r>
    <s v="USR-100080"/>
    <d v="2025-05-21T00:00:00"/>
    <x v="0"/>
    <x v="2"/>
    <x v="1"/>
    <x v="4"/>
    <s v="Free"/>
    <n v="1"/>
    <n v="0"/>
    <n v="0"/>
    <x v="0"/>
    <n v="0"/>
    <n v="0"/>
    <n v="0"/>
    <m/>
    <n v="44.2"/>
    <m/>
    <n v="0"/>
  </r>
  <r>
    <s v="USR-100081"/>
    <d v="2025-05-08T00:00:00"/>
    <x v="0"/>
    <x v="3"/>
    <x v="1"/>
    <x v="1"/>
    <s v="Free"/>
    <n v="1"/>
    <n v="1"/>
    <n v="1"/>
    <x v="0"/>
    <n v="0"/>
    <n v="0"/>
    <n v="0"/>
    <m/>
    <n v="81.2"/>
    <m/>
    <n v="0"/>
  </r>
  <r>
    <s v="USR-100082"/>
    <d v="2025-03-08T00:00:00"/>
    <x v="0"/>
    <x v="3"/>
    <x v="1"/>
    <x v="3"/>
    <s v="Free"/>
    <n v="1"/>
    <n v="1"/>
    <n v="0"/>
    <x v="0"/>
    <n v="0"/>
    <n v="0"/>
    <n v="0"/>
    <m/>
    <n v="63.8"/>
    <m/>
    <n v="0"/>
  </r>
  <r>
    <s v="USR-100083"/>
    <d v="2025-04-01T00:00:00"/>
    <x v="0"/>
    <x v="3"/>
    <x v="0"/>
    <x v="0"/>
    <s v="Free"/>
    <n v="0"/>
    <n v="0"/>
    <n v="0"/>
    <x v="0"/>
    <n v="0"/>
    <n v="0"/>
    <n v="0"/>
    <m/>
    <n v="64.7"/>
    <m/>
    <n v="0"/>
  </r>
  <r>
    <s v="USR-100084"/>
    <d v="2025-03-03T00:00:00"/>
    <x v="0"/>
    <x v="1"/>
    <x v="1"/>
    <x v="4"/>
    <s v="Basic"/>
    <n v="0"/>
    <n v="0"/>
    <n v="0"/>
    <x v="0"/>
    <n v="0"/>
    <n v="0"/>
    <n v="0"/>
    <m/>
    <n v="60.4"/>
    <m/>
    <n v="0"/>
  </r>
  <r>
    <s v="USR-100085"/>
    <d v="2025-04-16T00:00:00"/>
    <x v="0"/>
    <x v="3"/>
    <x v="1"/>
    <x v="2"/>
    <s v="Free"/>
    <n v="0"/>
    <n v="0"/>
    <n v="0"/>
    <x v="0"/>
    <n v="0"/>
    <n v="0"/>
    <n v="0"/>
    <m/>
    <n v="66.599999999999994"/>
    <m/>
    <n v="0"/>
  </r>
  <r>
    <s v="USR-100086"/>
    <d v="2025-01-09T00:00:00"/>
    <x v="0"/>
    <x v="0"/>
    <x v="0"/>
    <x v="1"/>
    <s v="Free"/>
    <n v="1"/>
    <n v="0"/>
    <n v="0"/>
    <x v="0"/>
    <n v="0"/>
    <n v="0"/>
    <n v="0"/>
    <m/>
    <n v="50.9"/>
    <m/>
    <n v="0"/>
  </r>
  <r>
    <s v="USR-100087"/>
    <d v="2025-01-22T00:00:00"/>
    <x v="0"/>
    <x v="1"/>
    <x v="0"/>
    <x v="4"/>
    <s v="Basic"/>
    <n v="0"/>
    <n v="0"/>
    <n v="0"/>
    <x v="0"/>
    <n v="0"/>
    <n v="0"/>
    <n v="0"/>
    <m/>
    <n v="51"/>
    <m/>
    <n v="0"/>
  </r>
  <r>
    <s v="USR-100088"/>
    <d v="2025-04-30T00:00:00"/>
    <x v="0"/>
    <x v="3"/>
    <x v="1"/>
    <x v="0"/>
    <s v="Premium"/>
    <n v="0"/>
    <n v="0"/>
    <n v="0"/>
    <x v="0"/>
    <n v="0"/>
    <n v="0"/>
    <n v="0"/>
    <m/>
    <n v="65.8"/>
    <m/>
    <n v="0"/>
  </r>
  <r>
    <s v="USR-100089"/>
    <d v="2025-04-25T00:00:00"/>
    <x v="0"/>
    <x v="0"/>
    <x v="1"/>
    <x v="3"/>
    <s v="Basic"/>
    <n v="1"/>
    <n v="0"/>
    <n v="0"/>
    <x v="0"/>
    <n v="0"/>
    <n v="0"/>
    <n v="0"/>
    <m/>
    <n v="61.8"/>
    <m/>
    <n v="0"/>
  </r>
  <r>
    <s v="USR-100090"/>
    <d v="2025-02-01T00:00:00"/>
    <x v="0"/>
    <x v="0"/>
    <x v="1"/>
    <x v="1"/>
    <s v="Basic"/>
    <n v="1"/>
    <n v="0"/>
    <n v="0"/>
    <x v="0"/>
    <n v="0"/>
    <n v="0"/>
    <n v="0"/>
    <m/>
    <n v="54.5"/>
    <m/>
    <n v="0"/>
  </r>
  <r>
    <s v="USR-100091"/>
    <d v="2025-04-23T00:00:00"/>
    <x v="0"/>
    <x v="3"/>
    <x v="0"/>
    <x v="1"/>
    <s v="Free"/>
    <n v="1"/>
    <n v="0"/>
    <n v="0"/>
    <x v="0"/>
    <n v="0"/>
    <n v="0"/>
    <n v="0"/>
    <m/>
    <n v="72.2"/>
    <m/>
    <n v="0"/>
  </r>
  <r>
    <s v="USR-100092"/>
    <d v="2025-02-27T00:00:00"/>
    <x v="0"/>
    <x v="3"/>
    <x v="1"/>
    <x v="4"/>
    <s v="Free"/>
    <n v="1"/>
    <n v="0"/>
    <n v="0"/>
    <x v="0"/>
    <n v="0"/>
    <n v="0"/>
    <n v="0"/>
    <m/>
    <n v="42.3"/>
    <m/>
    <n v="0"/>
  </r>
  <r>
    <s v="USR-100093"/>
    <d v="2025-04-09T00:00:00"/>
    <x v="0"/>
    <x v="2"/>
    <x v="0"/>
    <x v="1"/>
    <s v="Basic"/>
    <n v="1"/>
    <n v="0"/>
    <n v="0"/>
    <x v="0"/>
    <n v="0"/>
    <n v="0"/>
    <n v="0"/>
    <m/>
    <n v="76.2"/>
    <m/>
    <n v="0"/>
  </r>
  <r>
    <s v="USR-100094"/>
    <d v="2025-05-13T00:00:00"/>
    <x v="0"/>
    <x v="3"/>
    <x v="2"/>
    <x v="1"/>
    <s v="Premium"/>
    <n v="1"/>
    <n v="1"/>
    <n v="1"/>
    <x v="0"/>
    <n v="0"/>
    <n v="1"/>
    <n v="0"/>
    <m/>
    <n v="37.4"/>
    <m/>
    <n v="1"/>
  </r>
  <r>
    <s v="USR-100095"/>
    <d v="2025-04-13T00:00:00"/>
    <x v="0"/>
    <x v="2"/>
    <x v="1"/>
    <x v="1"/>
    <s v="Free"/>
    <n v="0"/>
    <n v="0"/>
    <n v="0"/>
    <x v="0"/>
    <n v="0"/>
    <n v="0"/>
    <n v="0"/>
    <m/>
    <n v="84.2"/>
    <m/>
    <n v="0"/>
  </r>
  <r>
    <s v="USR-100096"/>
    <d v="2025-02-05T00:00:00"/>
    <x v="0"/>
    <x v="2"/>
    <x v="1"/>
    <x v="4"/>
    <s v="Free"/>
    <n v="0"/>
    <n v="0"/>
    <n v="0"/>
    <x v="0"/>
    <n v="0"/>
    <n v="0"/>
    <n v="0"/>
    <m/>
    <n v="68"/>
    <m/>
    <n v="0"/>
  </r>
  <r>
    <s v="USR-100097"/>
    <d v="2025-02-14T00:00:00"/>
    <x v="0"/>
    <x v="1"/>
    <x v="1"/>
    <x v="1"/>
    <s v="Basic"/>
    <n v="1"/>
    <n v="0"/>
    <n v="0"/>
    <x v="0"/>
    <n v="0"/>
    <n v="0"/>
    <n v="0"/>
    <m/>
    <n v="53.5"/>
    <m/>
    <n v="0"/>
  </r>
  <r>
    <s v="USR-100098"/>
    <d v="2025-02-11T00:00:00"/>
    <x v="0"/>
    <x v="0"/>
    <x v="0"/>
    <x v="1"/>
    <s v="Premium"/>
    <n v="1"/>
    <n v="0"/>
    <n v="0"/>
    <x v="0"/>
    <n v="0"/>
    <n v="0"/>
    <n v="0"/>
    <m/>
    <n v="63.2"/>
    <m/>
    <n v="0"/>
  </r>
  <r>
    <s v="USR-100099"/>
    <d v="2025-02-11T00:00:00"/>
    <x v="0"/>
    <x v="2"/>
    <x v="0"/>
    <x v="4"/>
    <s v="Free"/>
    <n v="1"/>
    <n v="1"/>
    <n v="1"/>
    <x v="1"/>
    <n v="363.32"/>
    <n v="0"/>
    <n v="0"/>
    <n v="9"/>
    <n v="55.9"/>
    <m/>
    <n v="0"/>
  </r>
  <r>
    <s v="USR-100100"/>
    <d v="2025-05-26T00:00:00"/>
    <x v="0"/>
    <x v="0"/>
    <x v="1"/>
    <x v="1"/>
    <s v="Free"/>
    <n v="1"/>
    <n v="0"/>
    <n v="0"/>
    <x v="0"/>
    <n v="0"/>
    <n v="0"/>
    <n v="0"/>
    <m/>
    <n v="63.5"/>
    <m/>
    <n v="0"/>
  </r>
  <r>
    <s v="USR-100101"/>
    <d v="2025-03-22T00:00:00"/>
    <x v="0"/>
    <x v="0"/>
    <x v="1"/>
    <x v="2"/>
    <s v="Basic"/>
    <n v="1"/>
    <n v="0"/>
    <n v="0"/>
    <x v="0"/>
    <n v="0"/>
    <n v="0"/>
    <n v="0"/>
    <m/>
    <n v="51.5"/>
    <m/>
    <n v="0"/>
  </r>
  <r>
    <s v="USR-100102"/>
    <d v="2025-04-08T00:00:00"/>
    <x v="0"/>
    <x v="1"/>
    <x v="1"/>
    <x v="2"/>
    <s v="Free"/>
    <n v="1"/>
    <n v="0"/>
    <n v="0"/>
    <x v="0"/>
    <n v="0"/>
    <n v="0"/>
    <n v="0"/>
    <m/>
    <n v="74.400000000000006"/>
    <m/>
    <n v="0"/>
  </r>
  <r>
    <s v="USR-100103"/>
    <d v="2025-04-14T00:00:00"/>
    <x v="0"/>
    <x v="0"/>
    <x v="0"/>
    <x v="4"/>
    <s v="Free"/>
    <n v="1"/>
    <n v="1"/>
    <n v="1"/>
    <x v="1"/>
    <n v="3887.98"/>
    <n v="0"/>
    <n v="0"/>
    <n v="13"/>
    <n v="60.2"/>
    <m/>
    <n v="0"/>
  </r>
  <r>
    <s v="USR-100104"/>
    <d v="2025-03-27T00:00:00"/>
    <x v="0"/>
    <x v="3"/>
    <x v="1"/>
    <x v="0"/>
    <s v="Free"/>
    <n v="1"/>
    <n v="0"/>
    <n v="0"/>
    <x v="0"/>
    <n v="0"/>
    <n v="1"/>
    <n v="0"/>
    <m/>
    <n v="67.2"/>
    <m/>
    <n v="1"/>
  </r>
  <r>
    <s v="USR-100105"/>
    <d v="2025-01-05T00:00:00"/>
    <x v="0"/>
    <x v="3"/>
    <x v="1"/>
    <x v="4"/>
    <s v="Free"/>
    <n v="1"/>
    <n v="1"/>
    <n v="1"/>
    <x v="0"/>
    <n v="0"/>
    <n v="0"/>
    <n v="0"/>
    <m/>
    <n v="79.599999999999994"/>
    <m/>
    <n v="0"/>
  </r>
  <r>
    <s v="USR-100106"/>
    <d v="2025-01-25T00:00:00"/>
    <x v="0"/>
    <x v="3"/>
    <x v="1"/>
    <x v="4"/>
    <s v="Basic"/>
    <n v="1"/>
    <n v="1"/>
    <n v="1"/>
    <x v="1"/>
    <n v="8610.7199999999993"/>
    <n v="0"/>
    <n v="0"/>
    <n v="6"/>
    <n v="61"/>
    <m/>
    <n v="0"/>
  </r>
  <r>
    <s v="USR-100107"/>
    <d v="2025-01-23T00:00:00"/>
    <x v="0"/>
    <x v="1"/>
    <x v="1"/>
    <x v="0"/>
    <s v="Free"/>
    <n v="1"/>
    <n v="1"/>
    <n v="1"/>
    <x v="0"/>
    <n v="0"/>
    <n v="4"/>
    <n v="0"/>
    <m/>
    <n v="51.1"/>
    <m/>
    <n v="1"/>
  </r>
  <r>
    <s v="USR-100108"/>
    <d v="2025-05-25T00:00:00"/>
    <x v="0"/>
    <x v="2"/>
    <x v="0"/>
    <x v="3"/>
    <s v="Free"/>
    <n v="1"/>
    <n v="0"/>
    <n v="0"/>
    <x v="0"/>
    <n v="0"/>
    <n v="0"/>
    <n v="0"/>
    <m/>
    <n v="92.1"/>
    <m/>
    <n v="0"/>
  </r>
  <r>
    <s v="USR-100109"/>
    <d v="2025-03-22T00:00:00"/>
    <x v="0"/>
    <x v="3"/>
    <x v="1"/>
    <x v="3"/>
    <s v="Basic"/>
    <n v="0"/>
    <n v="0"/>
    <n v="0"/>
    <x v="0"/>
    <n v="0"/>
    <n v="0"/>
    <n v="0"/>
    <m/>
    <n v="82.1"/>
    <m/>
    <n v="0"/>
  </r>
  <r>
    <s v="USR-100110"/>
    <d v="2025-02-12T00:00:00"/>
    <x v="0"/>
    <x v="1"/>
    <x v="0"/>
    <x v="2"/>
    <s v="Basic"/>
    <n v="1"/>
    <n v="0"/>
    <n v="0"/>
    <x v="0"/>
    <n v="0"/>
    <n v="1"/>
    <n v="0"/>
    <m/>
    <n v="74"/>
    <m/>
    <n v="1"/>
  </r>
  <r>
    <s v="USR-100111"/>
    <d v="2025-04-28T00:00:00"/>
    <x v="0"/>
    <x v="1"/>
    <x v="0"/>
    <x v="1"/>
    <s v="Basic"/>
    <n v="1"/>
    <n v="0"/>
    <n v="0"/>
    <x v="0"/>
    <n v="0"/>
    <n v="0"/>
    <n v="0"/>
    <m/>
    <n v="63.4"/>
    <m/>
    <n v="0"/>
  </r>
  <r>
    <s v="USR-100112"/>
    <d v="2025-01-30T00:00:00"/>
    <x v="0"/>
    <x v="0"/>
    <x v="1"/>
    <x v="1"/>
    <s v="Basic"/>
    <n v="1"/>
    <n v="0"/>
    <n v="0"/>
    <x v="0"/>
    <n v="0"/>
    <n v="0"/>
    <n v="0"/>
    <m/>
    <n v="53.2"/>
    <m/>
    <n v="0"/>
  </r>
  <r>
    <s v="USR-100113"/>
    <d v="2025-05-19T00:00:00"/>
    <x v="0"/>
    <x v="2"/>
    <x v="2"/>
    <x v="2"/>
    <s v="Free"/>
    <n v="0"/>
    <n v="0"/>
    <n v="0"/>
    <x v="0"/>
    <n v="0"/>
    <n v="0"/>
    <n v="0"/>
    <m/>
    <n v="48.1"/>
    <m/>
    <n v="0"/>
  </r>
  <r>
    <s v="USR-100114"/>
    <d v="2025-01-23T00:00:00"/>
    <x v="0"/>
    <x v="3"/>
    <x v="1"/>
    <x v="4"/>
    <s v="Free"/>
    <n v="1"/>
    <n v="1"/>
    <n v="0"/>
    <x v="0"/>
    <n v="0"/>
    <n v="0"/>
    <n v="0"/>
    <m/>
    <n v="61.5"/>
    <m/>
    <n v="0"/>
  </r>
  <r>
    <s v="USR-100115"/>
    <d v="2025-03-28T00:00:00"/>
    <x v="0"/>
    <x v="2"/>
    <x v="0"/>
    <x v="4"/>
    <s v="Free"/>
    <n v="1"/>
    <n v="0"/>
    <n v="0"/>
    <x v="0"/>
    <n v="0"/>
    <n v="0"/>
    <n v="0"/>
    <m/>
    <n v="63.2"/>
    <m/>
    <n v="0"/>
  </r>
  <r>
    <s v="USR-100116"/>
    <d v="2025-01-11T00:00:00"/>
    <x v="0"/>
    <x v="1"/>
    <x v="1"/>
    <x v="1"/>
    <s v="Free"/>
    <n v="0"/>
    <n v="0"/>
    <n v="0"/>
    <x v="0"/>
    <n v="0"/>
    <n v="0"/>
    <n v="0"/>
    <m/>
    <n v="71.900000000000006"/>
    <m/>
    <n v="0"/>
  </r>
  <r>
    <s v="USR-100117"/>
    <d v="2025-04-11T00:00:00"/>
    <x v="0"/>
    <x v="0"/>
    <x v="1"/>
    <x v="3"/>
    <s v="Free"/>
    <n v="0"/>
    <n v="0"/>
    <n v="0"/>
    <x v="0"/>
    <n v="0"/>
    <n v="0"/>
    <n v="0"/>
    <m/>
    <n v="62.7"/>
    <m/>
    <n v="0"/>
  </r>
  <r>
    <s v="USR-100118"/>
    <d v="2025-01-02T00:00:00"/>
    <x v="0"/>
    <x v="1"/>
    <x v="1"/>
    <x v="2"/>
    <s v="Free"/>
    <n v="1"/>
    <n v="0"/>
    <n v="0"/>
    <x v="0"/>
    <n v="0"/>
    <n v="0"/>
    <n v="0"/>
    <m/>
    <n v="51.5"/>
    <m/>
    <n v="0"/>
  </r>
  <r>
    <s v="USR-100119"/>
    <d v="2025-03-18T00:00:00"/>
    <x v="0"/>
    <x v="2"/>
    <x v="1"/>
    <x v="4"/>
    <s v="Free"/>
    <n v="1"/>
    <n v="1"/>
    <n v="1"/>
    <x v="0"/>
    <n v="0"/>
    <n v="0"/>
    <n v="0"/>
    <m/>
    <n v="39.1"/>
    <m/>
    <n v="0"/>
  </r>
  <r>
    <s v="USR-100120"/>
    <d v="2025-03-31T00:00:00"/>
    <x v="0"/>
    <x v="0"/>
    <x v="1"/>
    <x v="0"/>
    <s v="Free"/>
    <n v="1"/>
    <n v="0"/>
    <n v="0"/>
    <x v="0"/>
    <n v="0"/>
    <n v="0"/>
    <n v="0"/>
    <m/>
    <n v="43.8"/>
    <m/>
    <n v="0"/>
  </r>
  <r>
    <s v="USR-100121"/>
    <d v="2025-01-06T00:00:00"/>
    <x v="0"/>
    <x v="0"/>
    <x v="1"/>
    <x v="2"/>
    <s v="Basic"/>
    <n v="1"/>
    <n v="0"/>
    <n v="0"/>
    <x v="0"/>
    <n v="0"/>
    <n v="0"/>
    <n v="0"/>
    <m/>
    <n v="59.9"/>
    <m/>
    <n v="0"/>
  </r>
  <r>
    <s v="USR-100122"/>
    <d v="2025-01-26T00:00:00"/>
    <x v="0"/>
    <x v="0"/>
    <x v="1"/>
    <x v="3"/>
    <s v="Free"/>
    <n v="1"/>
    <n v="1"/>
    <n v="0"/>
    <x v="0"/>
    <n v="0"/>
    <n v="0"/>
    <n v="0"/>
    <m/>
    <n v="71.400000000000006"/>
    <m/>
    <n v="0"/>
  </r>
  <r>
    <s v="USR-100123"/>
    <d v="2025-04-22T00:00:00"/>
    <x v="0"/>
    <x v="3"/>
    <x v="1"/>
    <x v="3"/>
    <s v="Basic"/>
    <n v="0"/>
    <n v="0"/>
    <n v="0"/>
    <x v="0"/>
    <n v="0"/>
    <n v="0"/>
    <n v="0"/>
    <m/>
    <n v="36.1"/>
    <m/>
    <n v="0"/>
  </r>
  <r>
    <s v="USR-100124"/>
    <d v="2025-05-30T00:00:00"/>
    <x v="0"/>
    <x v="1"/>
    <x v="3"/>
    <x v="0"/>
    <s v="Basic"/>
    <n v="1"/>
    <n v="1"/>
    <n v="0"/>
    <x v="0"/>
    <n v="0"/>
    <n v="0"/>
    <n v="0"/>
    <m/>
    <n v="47.9"/>
    <m/>
    <n v="0"/>
  </r>
  <r>
    <s v="USR-100125"/>
    <d v="2025-05-18T00:00:00"/>
    <x v="0"/>
    <x v="1"/>
    <x v="0"/>
    <x v="1"/>
    <s v="Premium"/>
    <n v="1"/>
    <n v="0"/>
    <n v="0"/>
    <x v="0"/>
    <n v="0"/>
    <n v="0"/>
    <n v="0"/>
    <m/>
    <n v="62.5"/>
    <m/>
    <n v="0"/>
  </r>
  <r>
    <s v="USR-100126"/>
    <d v="2025-01-13T00:00:00"/>
    <x v="0"/>
    <x v="3"/>
    <x v="0"/>
    <x v="2"/>
    <s v="Premium"/>
    <n v="1"/>
    <n v="0"/>
    <n v="0"/>
    <x v="0"/>
    <n v="0"/>
    <n v="0"/>
    <n v="0"/>
    <m/>
    <n v="56.9"/>
    <m/>
    <n v="0"/>
  </r>
  <r>
    <s v="USR-100127"/>
    <d v="2025-03-25T00:00:00"/>
    <x v="0"/>
    <x v="0"/>
    <x v="0"/>
    <x v="0"/>
    <s v="Free"/>
    <n v="0"/>
    <n v="0"/>
    <n v="0"/>
    <x v="0"/>
    <n v="0"/>
    <n v="0"/>
    <n v="0"/>
    <m/>
    <n v="64.7"/>
    <m/>
    <n v="0"/>
  </r>
  <r>
    <s v="USR-100128"/>
    <d v="2025-04-29T00:00:00"/>
    <x v="0"/>
    <x v="3"/>
    <x v="0"/>
    <x v="1"/>
    <s v="Free"/>
    <n v="1"/>
    <n v="1"/>
    <n v="1"/>
    <x v="0"/>
    <n v="0"/>
    <n v="0"/>
    <n v="0"/>
    <m/>
    <n v="64"/>
    <m/>
    <n v="0"/>
  </r>
  <r>
    <s v="USR-100129"/>
    <d v="2025-05-17T00:00:00"/>
    <x v="0"/>
    <x v="2"/>
    <x v="1"/>
    <x v="3"/>
    <s v="Basic"/>
    <n v="1"/>
    <n v="1"/>
    <n v="1"/>
    <x v="0"/>
    <n v="0"/>
    <n v="0"/>
    <n v="0"/>
    <m/>
    <n v="75.2"/>
    <m/>
    <n v="0"/>
  </r>
  <r>
    <s v="USR-100130"/>
    <d v="2025-01-02T00:00:00"/>
    <x v="0"/>
    <x v="0"/>
    <x v="1"/>
    <x v="2"/>
    <s v="Free"/>
    <n v="1"/>
    <n v="0"/>
    <n v="0"/>
    <x v="0"/>
    <n v="0"/>
    <n v="1"/>
    <n v="0"/>
    <m/>
    <n v="79"/>
    <m/>
    <n v="1"/>
  </r>
  <r>
    <s v="USR-100131"/>
    <d v="2025-02-03T00:00:00"/>
    <x v="0"/>
    <x v="3"/>
    <x v="1"/>
    <x v="1"/>
    <s v="Free"/>
    <n v="0"/>
    <n v="0"/>
    <n v="0"/>
    <x v="0"/>
    <n v="0"/>
    <n v="0"/>
    <n v="0"/>
    <m/>
    <n v="33"/>
    <m/>
    <n v="0"/>
  </r>
  <r>
    <s v="USR-100132"/>
    <d v="2025-03-04T00:00:00"/>
    <x v="0"/>
    <x v="2"/>
    <x v="1"/>
    <x v="1"/>
    <s v="Free"/>
    <n v="1"/>
    <n v="0"/>
    <n v="0"/>
    <x v="0"/>
    <n v="0"/>
    <n v="0"/>
    <n v="0"/>
    <m/>
    <n v="67.900000000000006"/>
    <m/>
    <n v="0"/>
  </r>
  <r>
    <s v="USR-100133"/>
    <d v="2025-01-26T00:00:00"/>
    <x v="0"/>
    <x v="3"/>
    <x v="1"/>
    <x v="2"/>
    <s v="Basic"/>
    <n v="0"/>
    <n v="0"/>
    <n v="0"/>
    <x v="0"/>
    <n v="0"/>
    <n v="0"/>
    <n v="0"/>
    <m/>
    <n v="42.2"/>
    <m/>
    <n v="0"/>
  </r>
  <r>
    <s v="USR-100134"/>
    <d v="2025-05-12T00:00:00"/>
    <x v="0"/>
    <x v="1"/>
    <x v="1"/>
    <x v="2"/>
    <s v="Basic"/>
    <n v="1"/>
    <n v="1"/>
    <n v="1"/>
    <x v="0"/>
    <n v="0"/>
    <n v="0"/>
    <n v="0"/>
    <m/>
    <n v="43.4"/>
    <m/>
    <n v="0"/>
  </r>
  <r>
    <s v="USR-100135"/>
    <d v="2025-03-06T00:00:00"/>
    <x v="0"/>
    <x v="0"/>
    <x v="1"/>
    <x v="1"/>
    <s v="Basic"/>
    <n v="0"/>
    <n v="0"/>
    <n v="0"/>
    <x v="0"/>
    <n v="0"/>
    <n v="0"/>
    <n v="0"/>
    <m/>
    <n v="54.4"/>
    <m/>
    <n v="0"/>
  </r>
  <r>
    <s v="USR-100136"/>
    <d v="2025-03-10T00:00:00"/>
    <x v="0"/>
    <x v="3"/>
    <x v="0"/>
    <x v="0"/>
    <s v="Premium"/>
    <n v="0"/>
    <n v="0"/>
    <n v="0"/>
    <x v="0"/>
    <n v="0"/>
    <n v="0"/>
    <n v="0"/>
    <m/>
    <n v="45.7"/>
    <m/>
    <n v="0"/>
  </r>
  <r>
    <s v="USR-100137"/>
    <d v="2025-05-06T00:00:00"/>
    <x v="0"/>
    <x v="0"/>
    <x v="1"/>
    <x v="2"/>
    <s v="Free"/>
    <n v="0"/>
    <n v="0"/>
    <n v="0"/>
    <x v="0"/>
    <n v="0"/>
    <n v="3"/>
    <n v="0"/>
    <m/>
    <n v="32"/>
    <m/>
    <n v="1"/>
  </r>
  <r>
    <s v="USR-100138"/>
    <d v="2025-02-23T00:00:00"/>
    <x v="0"/>
    <x v="3"/>
    <x v="0"/>
    <x v="2"/>
    <s v="Free"/>
    <n v="1"/>
    <n v="0"/>
    <n v="0"/>
    <x v="0"/>
    <n v="0"/>
    <n v="0"/>
    <n v="0"/>
    <m/>
    <n v="70.900000000000006"/>
    <m/>
    <n v="0"/>
  </r>
  <r>
    <s v="USR-100139"/>
    <d v="2025-01-29T00:00:00"/>
    <x v="0"/>
    <x v="1"/>
    <x v="1"/>
    <x v="4"/>
    <s v="Basic"/>
    <n v="1"/>
    <n v="1"/>
    <n v="1"/>
    <x v="0"/>
    <n v="0"/>
    <n v="0"/>
    <n v="0"/>
    <m/>
    <n v="59.1"/>
    <m/>
    <n v="0"/>
  </r>
  <r>
    <s v="USR-100140"/>
    <d v="2025-01-31T00:00:00"/>
    <x v="0"/>
    <x v="0"/>
    <x v="1"/>
    <x v="1"/>
    <s v="Basic"/>
    <n v="0"/>
    <n v="0"/>
    <n v="0"/>
    <x v="0"/>
    <n v="0"/>
    <n v="0"/>
    <n v="0"/>
    <m/>
    <n v="62.4"/>
    <m/>
    <n v="0"/>
  </r>
  <r>
    <s v="USR-100141"/>
    <d v="2025-01-19T00:00:00"/>
    <x v="0"/>
    <x v="3"/>
    <x v="1"/>
    <x v="1"/>
    <s v="Free"/>
    <n v="0"/>
    <n v="0"/>
    <n v="0"/>
    <x v="0"/>
    <n v="0"/>
    <n v="0"/>
    <n v="0"/>
    <m/>
    <n v="49.6"/>
    <m/>
    <n v="0"/>
  </r>
  <r>
    <s v="USR-100142"/>
    <d v="2025-04-03T00:00:00"/>
    <x v="0"/>
    <x v="1"/>
    <x v="0"/>
    <x v="4"/>
    <s v="Free"/>
    <n v="1"/>
    <n v="1"/>
    <n v="1"/>
    <x v="1"/>
    <n v="404.4"/>
    <n v="0"/>
    <n v="0"/>
    <n v="9"/>
    <n v="80.599999999999994"/>
    <m/>
    <n v="0"/>
  </r>
  <r>
    <s v="USR-100143"/>
    <d v="2025-04-07T00:00:00"/>
    <x v="0"/>
    <x v="0"/>
    <x v="1"/>
    <x v="2"/>
    <s v="Free"/>
    <n v="1"/>
    <n v="0"/>
    <n v="0"/>
    <x v="0"/>
    <n v="0"/>
    <n v="0"/>
    <n v="0"/>
    <m/>
    <n v="47.9"/>
    <m/>
    <n v="0"/>
  </r>
  <r>
    <s v="USR-100144"/>
    <d v="2025-01-06T00:00:00"/>
    <x v="0"/>
    <x v="2"/>
    <x v="1"/>
    <x v="2"/>
    <s v="Basic"/>
    <n v="1"/>
    <n v="1"/>
    <n v="0"/>
    <x v="0"/>
    <n v="0"/>
    <n v="0"/>
    <n v="0"/>
    <m/>
    <n v="54.8"/>
    <m/>
    <n v="0"/>
  </r>
  <r>
    <s v="USR-100145"/>
    <d v="2025-04-11T00:00:00"/>
    <x v="0"/>
    <x v="2"/>
    <x v="1"/>
    <x v="1"/>
    <s v="Free"/>
    <n v="1"/>
    <n v="0"/>
    <n v="0"/>
    <x v="0"/>
    <n v="0"/>
    <n v="1"/>
    <n v="0"/>
    <m/>
    <n v="53.9"/>
    <m/>
    <n v="1"/>
  </r>
  <r>
    <s v="USR-100146"/>
    <d v="2025-04-23T00:00:00"/>
    <x v="0"/>
    <x v="2"/>
    <x v="1"/>
    <x v="2"/>
    <s v="Free"/>
    <n v="1"/>
    <n v="0"/>
    <n v="0"/>
    <x v="0"/>
    <n v="0"/>
    <n v="0"/>
    <n v="0"/>
    <m/>
    <n v="41.3"/>
    <m/>
    <n v="0"/>
  </r>
  <r>
    <s v="USR-100147"/>
    <d v="2025-03-25T00:00:00"/>
    <x v="0"/>
    <x v="1"/>
    <x v="1"/>
    <x v="1"/>
    <s v="Basic"/>
    <n v="1"/>
    <n v="1"/>
    <n v="0"/>
    <x v="0"/>
    <n v="0"/>
    <n v="0"/>
    <n v="0"/>
    <m/>
    <n v="38.9"/>
    <m/>
    <n v="0"/>
  </r>
  <r>
    <s v="USR-100148"/>
    <d v="2025-05-25T00:00:00"/>
    <x v="0"/>
    <x v="3"/>
    <x v="0"/>
    <x v="1"/>
    <s v="Basic"/>
    <n v="1"/>
    <n v="0"/>
    <n v="0"/>
    <x v="0"/>
    <n v="0"/>
    <n v="0"/>
    <n v="0"/>
    <m/>
    <n v="63.6"/>
    <m/>
    <n v="0"/>
  </r>
  <r>
    <s v="USR-100149"/>
    <d v="2025-01-28T00:00:00"/>
    <x v="0"/>
    <x v="0"/>
    <x v="1"/>
    <x v="1"/>
    <s v="Free"/>
    <n v="1"/>
    <n v="1"/>
    <n v="1"/>
    <x v="1"/>
    <n v="577.94000000000005"/>
    <n v="0"/>
    <n v="0"/>
    <n v="9"/>
    <n v="76.599999999999994"/>
    <m/>
    <n v="0"/>
  </r>
  <r>
    <s v="USR-100150"/>
    <d v="2025-02-12T00:00:00"/>
    <x v="0"/>
    <x v="1"/>
    <x v="1"/>
    <x v="2"/>
    <s v="Premium"/>
    <n v="0"/>
    <n v="0"/>
    <n v="0"/>
    <x v="0"/>
    <n v="0"/>
    <n v="1"/>
    <n v="0"/>
    <m/>
    <n v="67.599999999999994"/>
    <m/>
    <n v="1"/>
  </r>
  <r>
    <s v="USR-100151"/>
    <d v="2025-04-29T00:00:00"/>
    <x v="0"/>
    <x v="0"/>
    <x v="1"/>
    <x v="4"/>
    <s v="Premium"/>
    <n v="1"/>
    <n v="0"/>
    <n v="0"/>
    <x v="0"/>
    <n v="0"/>
    <n v="0"/>
    <n v="0"/>
    <m/>
    <n v="43.1"/>
    <m/>
    <n v="0"/>
  </r>
  <r>
    <s v="USR-100152"/>
    <d v="2025-03-13T00:00:00"/>
    <x v="0"/>
    <x v="3"/>
    <x v="1"/>
    <x v="0"/>
    <s v="Free"/>
    <n v="1"/>
    <n v="0"/>
    <n v="0"/>
    <x v="0"/>
    <n v="0"/>
    <n v="0"/>
    <n v="0"/>
    <m/>
    <n v="58.3"/>
    <m/>
    <n v="0"/>
  </r>
  <r>
    <s v="USR-100153"/>
    <d v="2025-02-04T00:00:00"/>
    <x v="0"/>
    <x v="2"/>
    <x v="0"/>
    <x v="2"/>
    <s v="Free"/>
    <n v="1"/>
    <n v="0"/>
    <n v="0"/>
    <x v="0"/>
    <n v="0"/>
    <n v="0"/>
    <n v="0"/>
    <m/>
    <n v="69.8"/>
    <m/>
    <n v="0"/>
  </r>
  <r>
    <s v="USR-100154"/>
    <d v="2025-03-04T00:00:00"/>
    <x v="0"/>
    <x v="3"/>
    <x v="1"/>
    <x v="3"/>
    <s v="Free"/>
    <n v="1"/>
    <n v="1"/>
    <n v="0"/>
    <x v="0"/>
    <n v="0"/>
    <n v="0"/>
    <n v="0"/>
    <m/>
    <m/>
    <m/>
    <n v="0"/>
  </r>
  <r>
    <s v="USR-100155"/>
    <d v="2025-02-04T00:00:00"/>
    <x v="0"/>
    <x v="1"/>
    <x v="1"/>
    <x v="2"/>
    <s v="Basic"/>
    <n v="1"/>
    <n v="1"/>
    <n v="0"/>
    <x v="0"/>
    <n v="0"/>
    <n v="0"/>
    <n v="0"/>
    <m/>
    <n v="41.9"/>
    <m/>
    <n v="0"/>
  </r>
  <r>
    <s v="USR-100156"/>
    <d v="2025-03-11T00:00:00"/>
    <x v="0"/>
    <x v="0"/>
    <x v="0"/>
    <x v="1"/>
    <s v="Free"/>
    <n v="0"/>
    <n v="0"/>
    <n v="0"/>
    <x v="0"/>
    <n v="0"/>
    <n v="0"/>
    <n v="0"/>
    <m/>
    <n v="33.1"/>
    <m/>
    <n v="0"/>
  </r>
  <r>
    <s v="USR-100157"/>
    <d v="2025-04-22T00:00:00"/>
    <x v="0"/>
    <x v="1"/>
    <x v="1"/>
    <x v="1"/>
    <s v="Free"/>
    <n v="0"/>
    <n v="0"/>
    <n v="0"/>
    <x v="0"/>
    <n v="0"/>
    <n v="0"/>
    <n v="0"/>
    <m/>
    <n v="58.6"/>
    <m/>
    <n v="0"/>
  </r>
  <r>
    <s v="USR-100158"/>
    <d v="2025-03-08T00:00:00"/>
    <x v="0"/>
    <x v="0"/>
    <x v="0"/>
    <x v="2"/>
    <s v="Free"/>
    <n v="0"/>
    <n v="0"/>
    <n v="0"/>
    <x v="0"/>
    <n v="0"/>
    <n v="0"/>
    <n v="0"/>
    <m/>
    <n v="55.7"/>
    <m/>
    <n v="0"/>
  </r>
  <r>
    <s v="USR-100159"/>
    <d v="2025-03-10T00:00:00"/>
    <x v="0"/>
    <x v="2"/>
    <x v="1"/>
    <x v="1"/>
    <s v="Free"/>
    <n v="0"/>
    <n v="0"/>
    <n v="0"/>
    <x v="0"/>
    <n v="0"/>
    <n v="2"/>
    <n v="0"/>
    <m/>
    <n v="64.900000000000006"/>
    <m/>
    <n v="1"/>
  </r>
  <r>
    <s v="USR-100160"/>
    <d v="2025-05-18T00:00:00"/>
    <x v="0"/>
    <x v="0"/>
    <x v="0"/>
    <x v="2"/>
    <s v="Basic"/>
    <n v="0"/>
    <n v="0"/>
    <n v="0"/>
    <x v="0"/>
    <n v="0"/>
    <n v="0"/>
    <n v="0"/>
    <m/>
    <n v="72.3"/>
    <m/>
    <n v="0"/>
  </r>
  <r>
    <s v="USR-100161"/>
    <d v="2025-05-14T00:00:00"/>
    <x v="0"/>
    <x v="0"/>
    <x v="1"/>
    <x v="4"/>
    <s v="Basic"/>
    <n v="0"/>
    <n v="0"/>
    <n v="0"/>
    <x v="0"/>
    <n v="0"/>
    <n v="0"/>
    <n v="0"/>
    <m/>
    <n v="42.1"/>
    <m/>
    <n v="0"/>
  </r>
  <r>
    <s v="USR-100162"/>
    <d v="2025-02-01T00:00:00"/>
    <x v="0"/>
    <x v="0"/>
    <x v="1"/>
    <x v="1"/>
    <s v="Free"/>
    <n v="0"/>
    <n v="0"/>
    <n v="0"/>
    <x v="0"/>
    <n v="0"/>
    <n v="0"/>
    <n v="0"/>
    <m/>
    <m/>
    <m/>
    <n v="0"/>
  </r>
  <r>
    <s v="USR-100163"/>
    <d v="2025-04-11T00:00:00"/>
    <x v="0"/>
    <x v="3"/>
    <x v="1"/>
    <x v="1"/>
    <s v="Basic"/>
    <n v="0"/>
    <n v="0"/>
    <n v="0"/>
    <x v="0"/>
    <n v="0"/>
    <n v="1"/>
    <n v="0"/>
    <m/>
    <n v="64.8"/>
    <m/>
    <n v="1"/>
  </r>
  <r>
    <s v="USR-100164"/>
    <d v="2025-02-14T00:00:00"/>
    <x v="0"/>
    <x v="2"/>
    <x v="1"/>
    <x v="1"/>
    <s v="Free"/>
    <n v="0"/>
    <n v="0"/>
    <n v="0"/>
    <x v="0"/>
    <n v="0"/>
    <n v="0"/>
    <n v="0"/>
    <m/>
    <n v="72.099999999999994"/>
    <m/>
    <n v="0"/>
  </r>
  <r>
    <s v="USR-100165"/>
    <d v="2025-05-19T00:00:00"/>
    <x v="0"/>
    <x v="2"/>
    <x v="1"/>
    <x v="4"/>
    <s v="Free"/>
    <n v="1"/>
    <n v="0"/>
    <n v="0"/>
    <x v="0"/>
    <n v="0"/>
    <n v="0"/>
    <n v="0"/>
    <m/>
    <n v="50.6"/>
    <m/>
    <n v="0"/>
  </r>
  <r>
    <s v="USR-100166"/>
    <d v="2025-04-26T00:00:00"/>
    <x v="0"/>
    <x v="0"/>
    <x v="0"/>
    <x v="2"/>
    <s v="Basic"/>
    <n v="1"/>
    <n v="1"/>
    <n v="1"/>
    <x v="1"/>
    <n v="1281.25"/>
    <n v="1"/>
    <n v="0"/>
    <n v="9"/>
    <n v="43.4"/>
    <m/>
    <n v="1"/>
  </r>
  <r>
    <s v="USR-100167"/>
    <d v="2025-04-06T00:00:00"/>
    <x v="0"/>
    <x v="3"/>
    <x v="1"/>
    <x v="4"/>
    <s v="Free"/>
    <n v="1"/>
    <n v="0"/>
    <n v="0"/>
    <x v="0"/>
    <n v="0"/>
    <n v="0"/>
    <n v="0"/>
    <m/>
    <n v="59.7"/>
    <m/>
    <n v="0"/>
  </r>
  <r>
    <s v="USR-100168"/>
    <d v="2025-03-06T00:00:00"/>
    <x v="0"/>
    <x v="3"/>
    <x v="1"/>
    <x v="2"/>
    <s v="Free"/>
    <n v="1"/>
    <n v="0"/>
    <n v="0"/>
    <x v="0"/>
    <n v="0"/>
    <n v="1"/>
    <n v="0"/>
    <m/>
    <m/>
    <m/>
    <n v="1"/>
  </r>
  <r>
    <s v="USR-100169"/>
    <d v="2025-03-10T00:00:00"/>
    <x v="0"/>
    <x v="1"/>
    <x v="1"/>
    <x v="4"/>
    <s v="Basic"/>
    <n v="0"/>
    <n v="0"/>
    <n v="0"/>
    <x v="0"/>
    <n v="0"/>
    <n v="0"/>
    <n v="0"/>
    <m/>
    <n v="54.5"/>
    <m/>
    <n v="0"/>
  </r>
  <r>
    <s v="USR-100170"/>
    <d v="2025-03-30T00:00:00"/>
    <x v="0"/>
    <x v="0"/>
    <x v="1"/>
    <x v="1"/>
    <s v="Free"/>
    <n v="1"/>
    <n v="0"/>
    <n v="0"/>
    <x v="0"/>
    <n v="0"/>
    <n v="0"/>
    <n v="0"/>
    <m/>
    <n v="71.099999999999994"/>
    <m/>
    <n v="0"/>
  </r>
  <r>
    <s v="USR-100171"/>
    <d v="2025-05-29T00:00:00"/>
    <x v="0"/>
    <x v="2"/>
    <x v="3"/>
    <x v="2"/>
    <s v="Free"/>
    <n v="1"/>
    <n v="1"/>
    <n v="1"/>
    <x v="0"/>
    <n v="0"/>
    <n v="0"/>
    <n v="0"/>
    <m/>
    <n v="44.4"/>
    <m/>
    <n v="0"/>
  </r>
  <r>
    <s v="USR-100172"/>
    <d v="2025-03-23T00:00:00"/>
    <x v="0"/>
    <x v="0"/>
    <x v="1"/>
    <x v="1"/>
    <s v="Free"/>
    <n v="1"/>
    <n v="0"/>
    <n v="0"/>
    <x v="0"/>
    <n v="0"/>
    <n v="0"/>
    <n v="0"/>
    <m/>
    <n v="61.7"/>
    <m/>
    <n v="0"/>
  </r>
  <r>
    <s v="USR-100173"/>
    <d v="2025-02-18T00:00:00"/>
    <x v="0"/>
    <x v="0"/>
    <x v="2"/>
    <x v="1"/>
    <s v="Basic"/>
    <n v="0"/>
    <n v="0"/>
    <n v="0"/>
    <x v="0"/>
    <n v="0"/>
    <n v="1"/>
    <n v="0"/>
    <m/>
    <n v="81.3"/>
    <m/>
    <n v="1"/>
  </r>
  <r>
    <s v="USR-100174"/>
    <d v="2025-01-26T00:00:00"/>
    <x v="0"/>
    <x v="0"/>
    <x v="0"/>
    <x v="0"/>
    <s v="Free"/>
    <n v="1"/>
    <n v="0"/>
    <n v="0"/>
    <x v="0"/>
    <n v="0"/>
    <n v="2"/>
    <n v="0"/>
    <m/>
    <n v="28.7"/>
    <m/>
    <n v="1"/>
  </r>
  <r>
    <s v="USR-100175"/>
    <d v="2025-04-23T00:00:00"/>
    <x v="0"/>
    <x v="2"/>
    <x v="1"/>
    <x v="4"/>
    <s v="Basic"/>
    <n v="0"/>
    <n v="0"/>
    <n v="0"/>
    <x v="0"/>
    <n v="0"/>
    <n v="0"/>
    <n v="0"/>
    <m/>
    <n v="53"/>
    <m/>
    <n v="0"/>
  </r>
  <r>
    <s v="USR-100176"/>
    <d v="2025-03-16T00:00:00"/>
    <x v="0"/>
    <x v="3"/>
    <x v="2"/>
    <x v="3"/>
    <s v="Basic"/>
    <n v="1"/>
    <n v="0"/>
    <n v="0"/>
    <x v="0"/>
    <n v="0"/>
    <n v="0"/>
    <n v="0"/>
    <m/>
    <n v="54.9"/>
    <m/>
    <n v="0"/>
  </r>
  <r>
    <s v="USR-100177"/>
    <d v="2025-04-29T00:00:00"/>
    <x v="0"/>
    <x v="1"/>
    <x v="1"/>
    <x v="1"/>
    <s v="Basic"/>
    <n v="1"/>
    <n v="0"/>
    <n v="0"/>
    <x v="0"/>
    <n v="0"/>
    <n v="0"/>
    <n v="0"/>
    <m/>
    <n v="58.2"/>
    <m/>
    <n v="0"/>
  </r>
  <r>
    <s v="USR-100178"/>
    <d v="2025-04-06T00:00:00"/>
    <x v="0"/>
    <x v="0"/>
    <x v="1"/>
    <x v="1"/>
    <s v="Free"/>
    <n v="0"/>
    <n v="0"/>
    <n v="0"/>
    <x v="0"/>
    <n v="0"/>
    <n v="0"/>
    <n v="0"/>
    <m/>
    <n v="80.599999999999994"/>
    <m/>
    <n v="0"/>
  </r>
  <r>
    <s v="USR-100179"/>
    <d v="2025-04-17T00:00:00"/>
    <x v="0"/>
    <x v="0"/>
    <x v="0"/>
    <x v="3"/>
    <s v="Premium"/>
    <n v="1"/>
    <n v="1"/>
    <n v="1"/>
    <x v="0"/>
    <n v="0"/>
    <n v="0"/>
    <n v="0"/>
    <m/>
    <n v="38.4"/>
    <m/>
    <n v="0"/>
  </r>
  <r>
    <s v="USR-100180"/>
    <d v="2025-04-03T00:00:00"/>
    <x v="0"/>
    <x v="3"/>
    <x v="1"/>
    <x v="2"/>
    <s v="Free"/>
    <n v="1"/>
    <n v="0"/>
    <n v="0"/>
    <x v="0"/>
    <n v="0"/>
    <n v="0"/>
    <n v="0"/>
    <m/>
    <n v="56.1"/>
    <m/>
    <n v="0"/>
  </r>
  <r>
    <s v="USR-100181"/>
    <d v="2025-04-25T00:00:00"/>
    <x v="0"/>
    <x v="1"/>
    <x v="1"/>
    <x v="2"/>
    <s v="Free"/>
    <n v="0"/>
    <n v="0"/>
    <n v="0"/>
    <x v="0"/>
    <n v="0"/>
    <n v="0"/>
    <n v="0"/>
    <m/>
    <n v="62.6"/>
    <m/>
    <n v="0"/>
  </r>
  <r>
    <s v="USR-100182"/>
    <d v="2025-04-30T00:00:00"/>
    <x v="0"/>
    <x v="3"/>
    <x v="1"/>
    <x v="1"/>
    <s v="Premium"/>
    <n v="0"/>
    <n v="0"/>
    <n v="0"/>
    <x v="0"/>
    <n v="0"/>
    <n v="0"/>
    <n v="0"/>
    <m/>
    <n v="36.299999999999997"/>
    <m/>
    <n v="0"/>
  </r>
  <r>
    <s v="USR-100183"/>
    <d v="2025-03-12T00:00:00"/>
    <x v="0"/>
    <x v="3"/>
    <x v="1"/>
    <x v="2"/>
    <s v="Free"/>
    <n v="1"/>
    <n v="0"/>
    <n v="0"/>
    <x v="0"/>
    <n v="0"/>
    <n v="0"/>
    <n v="0"/>
    <m/>
    <n v="52.1"/>
    <m/>
    <n v="0"/>
  </r>
  <r>
    <s v="USR-100184"/>
    <d v="2025-05-04T00:00:00"/>
    <x v="0"/>
    <x v="3"/>
    <x v="1"/>
    <x v="1"/>
    <s v="Free"/>
    <n v="1"/>
    <n v="0"/>
    <n v="0"/>
    <x v="0"/>
    <n v="0"/>
    <n v="0"/>
    <n v="0"/>
    <m/>
    <n v="45.1"/>
    <m/>
    <n v="0"/>
  </r>
  <r>
    <s v="USR-100185"/>
    <d v="2025-02-07T00:00:00"/>
    <x v="0"/>
    <x v="3"/>
    <x v="2"/>
    <x v="2"/>
    <s v="Premium"/>
    <n v="0"/>
    <n v="0"/>
    <n v="0"/>
    <x v="0"/>
    <n v="0"/>
    <n v="0"/>
    <n v="0"/>
    <m/>
    <n v="67.5"/>
    <m/>
    <n v="0"/>
  </r>
  <r>
    <s v="USR-100186"/>
    <d v="2025-04-28T00:00:00"/>
    <x v="0"/>
    <x v="2"/>
    <x v="2"/>
    <x v="0"/>
    <s v="Basic"/>
    <n v="1"/>
    <n v="1"/>
    <n v="1"/>
    <x v="0"/>
    <n v="0"/>
    <n v="0"/>
    <n v="0"/>
    <m/>
    <n v="80"/>
    <m/>
    <n v="0"/>
  </r>
  <r>
    <s v="USR-100187"/>
    <d v="2025-05-15T00:00:00"/>
    <x v="0"/>
    <x v="2"/>
    <x v="0"/>
    <x v="3"/>
    <s v="Free"/>
    <n v="0"/>
    <n v="0"/>
    <n v="0"/>
    <x v="0"/>
    <n v="0"/>
    <n v="0"/>
    <n v="0"/>
    <m/>
    <n v="56.4"/>
    <m/>
    <n v="0"/>
  </r>
  <r>
    <s v="USR-100188"/>
    <d v="2025-01-18T00:00:00"/>
    <x v="0"/>
    <x v="1"/>
    <x v="1"/>
    <x v="2"/>
    <s v="Basic"/>
    <n v="0"/>
    <n v="0"/>
    <n v="0"/>
    <x v="0"/>
    <n v="0"/>
    <n v="0"/>
    <n v="0"/>
    <m/>
    <n v="55.4"/>
    <m/>
    <n v="0"/>
  </r>
  <r>
    <s v="USR-100189"/>
    <d v="2025-02-15T00:00:00"/>
    <x v="0"/>
    <x v="3"/>
    <x v="1"/>
    <x v="4"/>
    <s v="Basic"/>
    <n v="1"/>
    <n v="0"/>
    <n v="0"/>
    <x v="0"/>
    <n v="0"/>
    <n v="0"/>
    <n v="0"/>
    <m/>
    <n v="67.900000000000006"/>
    <m/>
    <n v="0"/>
  </r>
  <r>
    <s v="USR-100190"/>
    <d v="2025-02-18T00:00:00"/>
    <x v="0"/>
    <x v="0"/>
    <x v="2"/>
    <x v="0"/>
    <s v="Free"/>
    <n v="1"/>
    <n v="0"/>
    <n v="0"/>
    <x v="0"/>
    <n v="0"/>
    <n v="0"/>
    <n v="0"/>
    <m/>
    <n v="62.5"/>
    <m/>
    <n v="0"/>
  </r>
  <r>
    <s v="USR-100191"/>
    <d v="2025-01-30T00:00:00"/>
    <x v="0"/>
    <x v="3"/>
    <x v="0"/>
    <x v="0"/>
    <s v="Basic"/>
    <n v="1"/>
    <n v="1"/>
    <n v="1"/>
    <x v="0"/>
    <n v="0"/>
    <n v="0"/>
    <n v="0"/>
    <m/>
    <n v="54.3"/>
    <m/>
    <n v="0"/>
  </r>
  <r>
    <s v="USR-100192"/>
    <d v="2025-02-09T00:00:00"/>
    <x v="0"/>
    <x v="3"/>
    <x v="0"/>
    <x v="1"/>
    <s v="Basic"/>
    <n v="1"/>
    <n v="0"/>
    <n v="0"/>
    <x v="0"/>
    <n v="0"/>
    <n v="0"/>
    <n v="0"/>
    <m/>
    <n v="37.5"/>
    <m/>
    <n v="0"/>
  </r>
  <r>
    <s v="USR-100193"/>
    <d v="2025-03-16T00:00:00"/>
    <x v="0"/>
    <x v="1"/>
    <x v="1"/>
    <x v="2"/>
    <s v="Basic"/>
    <n v="1"/>
    <n v="0"/>
    <n v="0"/>
    <x v="0"/>
    <n v="0"/>
    <n v="0"/>
    <n v="0"/>
    <m/>
    <n v="52.6"/>
    <m/>
    <n v="0"/>
  </r>
  <r>
    <s v="USR-100194"/>
    <d v="2025-05-19T00:00:00"/>
    <x v="0"/>
    <x v="0"/>
    <x v="1"/>
    <x v="2"/>
    <s v="Free"/>
    <n v="1"/>
    <n v="0"/>
    <n v="0"/>
    <x v="0"/>
    <n v="0"/>
    <n v="0"/>
    <n v="0"/>
    <m/>
    <n v="46.1"/>
    <m/>
    <n v="0"/>
  </r>
  <r>
    <s v="USR-100195"/>
    <d v="2025-05-16T00:00:00"/>
    <x v="0"/>
    <x v="3"/>
    <x v="0"/>
    <x v="1"/>
    <s v="Basic"/>
    <n v="1"/>
    <n v="0"/>
    <n v="0"/>
    <x v="0"/>
    <n v="0"/>
    <n v="0"/>
    <n v="0"/>
    <m/>
    <n v="54.7"/>
    <m/>
    <n v="0"/>
  </r>
  <r>
    <s v="USR-100196"/>
    <d v="2025-04-25T00:00:00"/>
    <x v="0"/>
    <x v="1"/>
    <x v="0"/>
    <x v="3"/>
    <s v="Basic"/>
    <n v="0"/>
    <n v="0"/>
    <n v="0"/>
    <x v="0"/>
    <n v="0"/>
    <n v="0"/>
    <n v="0"/>
    <m/>
    <n v="74.2"/>
    <m/>
    <n v="0"/>
  </r>
  <r>
    <s v="USR-100197"/>
    <d v="2025-02-27T00:00:00"/>
    <x v="0"/>
    <x v="0"/>
    <x v="1"/>
    <x v="4"/>
    <s v="Basic"/>
    <n v="1"/>
    <n v="1"/>
    <n v="1"/>
    <x v="1"/>
    <n v="1052.8"/>
    <n v="2"/>
    <n v="0"/>
    <n v="6"/>
    <n v="64.7"/>
    <m/>
    <n v="1"/>
  </r>
  <r>
    <s v="USR-100198"/>
    <d v="2025-04-26T00:00:00"/>
    <x v="0"/>
    <x v="3"/>
    <x v="1"/>
    <x v="2"/>
    <s v="Basic"/>
    <n v="0"/>
    <n v="0"/>
    <n v="0"/>
    <x v="0"/>
    <n v="0"/>
    <n v="0"/>
    <n v="0"/>
    <m/>
    <n v="65.900000000000006"/>
    <m/>
    <n v="0"/>
  </r>
  <r>
    <s v="USR-100199"/>
    <d v="2025-05-14T00:00:00"/>
    <x v="0"/>
    <x v="0"/>
    <x v="1"/>
    <x v="1"/>
    <s v="Basic"/>
    <n v="1"/>
    <n v="0"/>
    <n v="0"/>
    <x v="0"/>
    <n v="0"/>
    <n v="0"/>
    <n v="0"/>
    <m/>
    <n v="64"/>
    <m/>
    <n v="0"/>
  </r>
  <r>
    <s v="USR-100200"/>
    <d v="2025-03-05T00:00:00"/>
    <x v="0"/>
    <x v="0"/>
    <x v="1"/>
    <x v="1"/>
    <s v="Premium"/>
    <n v="1"/>
    <n v="0"/>
    <n v="0"/>
    <x v="0"/>
    <n v="0"/>
    <n v="0"/>
    <n v="0"/>
    <m/>
    <n v="57.2"/>
    <m/>
    <n v="0"/>
  </r>
  <r>
    <s v="USR-100201"/>
    <d v="2025-04-02T00:00:00"/>
    <x v="0"/>
    <x v="1"/>
    <x v="0"/>
    <x v="1"/>
    <s v="Free"/>
    <n v="1"/>
    <n v="0"/>
    <n v="0"/>
    <x v="0"/>
    <n v="0"/>
    <n v="0"/>
    <n v="0"/>
    <m/>
    <n v="80.5"/>
    <m/>
    <n v="0"/>
  </r>
  <r>
    <s v="USR-100202"/>
    <d v="2025-05-14T00:00:00"/>
    <x v="0"/>
    <x v="3"/>
    <x v="2"/>
    <x v="1"/>
    <s v="Free"/>
    <n v="0"/>
    <n v="0"/>
    <n v="0"/>
    <x v="0"/>
    <n v="0"/>
    <n v="0"/>
    <n v="0"/>
    <m/>
    <n v="53.9"/>
    <m/>
    <n v="0"/>
  </r>
  <r>
    <s v="USR-100203"/>
    <d v="2025-05-21T00:00:00"/>
    <x v="0"/>
    <x v="0"/>
    <x v="1"/>
    <x v="2"/>
    <s v="Free"/>
    <n v="1"/>
    <n v="1"/>
    <n v="0"/>
    <x v="0"/>
    <n v="0"/>
    <n v="0"/>
    <n v="0"/>
    <m/>
    <n v="77.5"/>
    <m/>
    <n v="0"/>
  </r>
  <r>
    <s v="USR-100204"/>
    <d v="2025-01-27T00:00:00"/>
    <x v="0"/>
    <x v="2"/>
    <x v="1"/>
    <x v="4"/>
    <s v="Basic"/>
    <n v="0"/>
    <n v="0"/>
    <n v="0"/>
    <x v="0"/>
    <n v="0"/>
    <n v="0"/>
    <n v="0"/>
    <m/>
    <n v="84.2"/>
    <m/>
    <n v="0"/>
  </r>
  <r>
    <s v="USR-100205"/>
    <d v="2025-05-22T00:00:00"/>
    <x v="0"/>
    <x v="1"/>
    <x v="0"/>
    <x v="1"/>
    <s v="Free"/>
    <n v="1"/>
    <n v="1"/>
    <n v="0"/>
    <x v="0"/>
    <n v="0"/>
    <n v="0"/>
    <n v="0"/>
    <m/>
    <n v="54.9"/>
    <m/>
    <n v="0"/>
  </r>
  <r>
    <s v="USR-100206"/>
    <d v="2025-05-19T00:00:00"/>
    <x v="0"/>
    <x v="3"/>
    <x v="1"/>
    <x v="2"/>
    <s v="Free"/>
    <n v="0"/>
    <n v="0"/>
    <n v="0"/>
    <x v="0"/>
    <n v="0"/>
    <n v="0"/>
    <n v="0"/>
    <m/>
    <n v="69.3"/>
    <m/>
    <n v="0"/>
  </r>
  <r>
    <s v="USR-100207"/>
    <d v="2025-01-14T00:00:00"/>
    <x v="0"/>
    <x v="3"/>
    <x v="0"/>
    <x v="2"/>
    <s v="Free"/>
    <n v="1"/>
    <n v="0"/>
    <n v="0"/>
    <x v="0"/>
    <n v="0"/>
    <n v="2"/>
    <n v="0"/>
    <m/>
    <n v="42.3"/>
    <m/>
    <n v="1"/>
  </r>
  <r>
    <s v="USR-100208"/>
    <d v="2025-01-21T00:00:00"/>
    <x v="0"/>
    <x v="0"/>
    <x v="0"/>
    <x v="3"/>
    <s v="Premium"/>
    <n v="1"/>
    <n v="0"/>
    <n v="0"/>
    <x v="0"/>
    <n v="0"/>
    <n v="1"/>
    <n v="0"/>
    <m/>
    <n v="69.599999999999994"/>
    <m/>
    <n v="1"/>
  </r>
  <r>
    <s v="USR-100209"/>
    <d v="2025-05-16T00:00:00"/>
    <x v="0"/>
    <x v="2"/>
    <x v="1"/>
    <x v="1"/>
    <s v="Free"/>
    <n v="0"/>
    <n v="0"/>
    <n v="0"/>
    <x v="0"/>
    <n v="0"/>
    <n v="0"/>
    <n v="0"/>
    <m/>
    <n v="40.700000000000003"/>
    <m/>
    <n v="0"/>
  </r>
  <r>
    <s v="USR-100210"/>
    <d v="2025-02-02T00:00:00"/>
    <x v="0"/>
    <x v="0"/>
    <x v="1"/>
    <x v="0"/>
    <s v="Free"/>
    <n v="1"/>
    <n v="0"/>
    <n v="0"/>
    <x v="0"/>
    <n v="0"/>
    <n v="0"/>
    <n v="0"/>
    <m/>
    <n v="54"/>
    <m/>
    <n v="0"/>
  </r>
  <r>
    <s v="USR-100211"/>
    <d v="2025-03-23T00:00:00"/>
    <x v="0"/>
    <x v="2"/>
    <x v="3"/>
    <x v="3"/>
    <s v="Free"/>
    <n v="1"/>
    <n v="1"/>
    <n v="1"/>
    <x v="1"/>
    <n v="553.37"/>
    <n v="0"/>
    <n v="0"/>
    <n v="5"/>
    <n v="46.3"/>
    <m/>
    <n v="0"/>
  </r>
  <r>
    <s v="USR-100212"/>
    <d v="2025-01-24T00:00:00"/>
    <x v="0"/>
    <x v="2"/>
    <x v="1"/>
    <x v="1"/>
    <s v="Free"/>
    <n v="1"/>
    <n v="0"/>
    <n v="0"/>
    <x v="0"/>
    <n v="0"/>
    <n v="0"/>
    <n v="0"/>
    <m/>
    <n v="64.2"/>
    <m/>
    <n v="0"/>
  </r>
  <r>
    <s v="USR-100213"/>
    <d v="2025-04-12T00:00:00"/>
    <x v="0"/>
    <x v="0"/>
    <x v="0"/>
    <x v="1"/>
    <s v="Free"/>
    <n v="1"/>
    <n v="0"/>
    <n v="0"/>
    <x v="0"/>
    <n v="0"/>
    <n v="0"/>
    <n v="0"/>
    <m/>
    <n v="75.2"/>
    <m/>
    <n v="0"/>
  </r>
  <r>
    <s v="USR-100214"/>
    <d v="2025-02-18T00:00:00"/>
    <x v="0"/>
    <x v="2"/>
    <x v="0"/>
    <x v="2"/>
    <s v="Free"/>
    <n v="1"/>
    <n v="1"/>
    <n v="0"/>
    <x v="0"/>
    <n v="0"/>
    <n v="0"/>
    <n v="0"/>
    <m/>
    <n v="60.9"/>
    <m/>
    <n v="0"/>
  </r>
  <r>
    <s v="USR-100215"/>
    <d v="2025-05-28T00:00:00"/>
    <x v="0"/>
    <x v="3"/>
    <x v="1"/>
    <x v="0"/>
    <s v="Basic"/>
    <n v="1"/>
    <n v="1"/>
    <n v="1"/>
    <x v="0"/>
    <n v="0"/>
    <n v="0"/>
    <n v="0"/>
    <m/>
    <n v="62.1"/>
    <m/>
    <n v="0"/>
  </r>
  <r>
    <s v="USR-100216"/>
    <d v="2025-04-18T00:00:00"/>
    <x v="0"/>
    <x v="3"/>
    <x v="1"/>
    <x v="4"/>
    <s v="Basic"/>
    <n v="0"/>
    <n v="0"/>
    <n v="0"/>
    <x v="0"/>
    <n v="0"/>
    <n v="0"/>
    <n v="0"/>
    <m/>
    <n v="45.4"/>
    <m/>
    <n v="0"/>
  </r>
  <r>
    <s v="USR-100217"/>
    <d v="2025-03-27T00:00:00"/>
    <x v="0"/>
    <x v="0"/>
    <x v="1"/>
    <x v="2"/>
    <s v="Basic"/>
    <n v="1"/>
    <n v="0"/>
    <n v="0"/>
    <x v="0"/>
    <n v="0"/>
    <n v="0"/>
    <n v="0"/>
    <m/>
    <n v="53.3"/>
    <m/>
    <n v="0"/>
  </r>
  <r>
    <s v="USR-100218"/>
    <d v="2025-02-25T00:00:00"/>
    <x v="0"/>
    <x v="0"/>
    <x v="2"/>
    <x v="4"/>
    <s v="Free"/>
    <n v="1"/>
    <n v="0"/>
    <n v="0"/>
    <x v="0"/>
    <n v="0"/>
    <n v="0"/>
    <n v="0"/>
    <m/>
    <m/>
    <m/>
    <n v="0"/>
  </r>
  <r>
    <s v="USR-100219"/>
    <d v="2025-02-19T00:00:00"/>
    <x v="0"/>
    <x v="2"/>
    <x v="1"/>
    <x v="2"/>
    <s v="Free"/>
    <n v="0"/>
    <n v="0"/>
    <n v="0"/>
    <x v="0"/>
    <n v="0"/>
    <n v="1"/>
    <n v="0"/>
    <m/>
    <n v="38.200000000000003"/>
    <m/>
    <n v="1"/>
  </r>
  <r>
    <s v="USR-100220"/>
    <d v="2025-04-11T00:00:00"/>
    <x v="0"/>
    <x v="1"/>
    <x v="1"/>
    <x v="2"/>
    <s v="Free"/>
    <n v="1"/>
    <n v="1"/>
    <n v="0"/>
    <x v="0"/>
    <n v="0"/>
    <n v="3"/>
    <n v="0"/>
    <m/>
    <n v="59"/>
    <m/>
    <n v="1"/>
  </r>
  <r>
    <s v="USR-100221"/>
    <d v="2025-01-22T00:00:00"/>
    <x v="0"/>
    <x v="2"/>
    <x v="2"/>
    <x v="3"/>
    <s v="Premium"/>
    <n v="1"/>
    <n v="1"/>
    <n v="1"/>
    <x v="0"/>
    <n v="0"/>
    <n v="0"/>
    <n v="0"/>
    <m/>
    <n v="80.599999999999994"/>
    <m/>
    <n v="0"/>
  </r>
  <r>
    <s v="USR-100222"/>
    <d v="2025-01-12T00:00:00"/>
    <x v="0"/>
    <x v="3"/>
    <x v="1"/>
    <x v="4"/>
    <s v="Free"/>
    <n v="1"/>
    <n v="0"/>
    <n v="0"/>
    <x v="0"/>
    <n v="0"/>
    <n v="0"/>
    <n v="0"/>
    <m/>
    <n v="67"/>
    <m/>
    <n v="0"/>
  </r>
  <r>
    <s v="USR-100223"/>
    <d v="2025-02-17T00:00:00"/>
    <x v="0"/>
    <x v="1"/>
    <x v="1"/>
    <x v="0"/>
    <s v="Free"/>
    <n v="1"/>
    <n v="0"/>
    <n v="0"/>
    <x v="0"/>
    <n v="0"/>
    <n v="1"/>
    <n v="0"/>
    <m/>
    <n v="72.099999999999994"/>
    <m/>
    <n v="1"/>
  </r>
  <r>
    <s v="USR-100224"/>
    <d v="2025-04-11T00:00:00"/>
    <x v="0"/>
    <x v="1"/>
    <x v="0"/>
    <x v="1"/>
    <s v="Free"/>
    <n v="0"/>
    <n v="0"/>
    <n v="0"/>
    <x v="0"/>
    <n v="0"/>
    <n v="0"/>
    <n v="0"/>
    <m/>
    <n v="74.099999999999994"/>
    <m/>
    <n v="0"/>
  </r>
  <r>
    <s v="USR-100225"/>
    <d v="2025-05-25T00:00:00"/>
    <x v="0"/>
    <x v="3"/>
    <x v="1"/>
    <x v="3"/>
    <s v="Premium"/>
    <n v="0"/>
    <n v="0"/>
    <n v="0"/>
    <x v="0"/>
    <n v="0"/>
    <n v="0"/>
    <n v="0"/>
    <m/>
    <n v="84.8"/>
    <m/>
    <n v="0"/>
  </r>
  <r>
    <s v="USR-100226"/>
    <d v="2025-03-12T00:00:00"/>
    <x v="0"/>
    <x v="3"/>
    <x v="1"/>
    <x v="1"/>
    <s v="Basic"/>
    <n v="1"/>
    <n v="0"/>
    <n v="0"/>
    <x v="0"/>
    <n v="0"/>
    <n v="0"/>
    <n v="0"/>
    <m/>
    <n v="33"/>
    <m/>
    <n v="0"/>
  </r>
  <r>
    <s v="USR-100227"/>
    <d v="2025-04-20T00:00:00"/>
    <x v="0"/>
    <x v="0"/>
    <x v="2"/>
    <x v="0"/>
    <s v="Free"/>
    <n v="0"/>
    <n v="0"/>
    <n v="0"/>
    <x v="0"/>
    <n v="0"/>
    <n v="0"/>
    <n v="0"/>
    <m/>
    <n v="52.5"/>
    <m/>
    <n v="0"/>
  </r>
  <r>
    <s v="USR-100228"/>
    <d v="2025-02-23T00:00:00"/>
    <x v="0"/>
    <x v="0"/>
    <x v="2"/>
    <x v="1"/>
    <s v="Free"/>
    <n v="0"/>
    <n v="0"/>
    <n v="0"/>
    <x v="0"/>
    <n v="0"/>
    <n v="0"/>
    <n v="0"/>
    <m/>
    <n v="66.900000000000006"/>
    <m/>
    <n v="0"/>
  </r>
  <r>
    <s v="USR-100229"/>
    <d v="2025-01-24T00:00:00"/>
    <x v="0"/>
    <x v="0"/>
    <x v="1"/>
    <x v="1"/>
    <s v="Basic"/>
    <n v="1"/>
    <n v="1"/>
    <n v="1"/>
    <x v="0"/>
    <n v="0"/>
    <n v="1"/>
    <n v="0"/>
    <m/>
    <n v="32.700000000000003"/>
    <m/>
    <n v="1"/>
  </r>
  <r>
    <s v="USR-100230"/>
    <d v="2025-01-16T00:00:00"/>
    <x v="0"/>
    <x v="1"/>
    <x v="1"/>
    <x v="1"/>
    <s v="Premium"/>
    <n v="1"/>
    <n v="1"/>
    <n v="1"/>
    <x v="0"/>
    <n v="0"/>
    <n v="1"/>
    <n v="0"/>
    <m/>
    <n v="70.599999999999994"/>
    <m/>
    <n v="1"/>
  </r>
  <r>
    <s v="USR-100231"/>
    <d v="2025-02-17T00:00:00"/>
    <x v="0"/>
    <x v="0"/>
    <x v="1"/>
    <x v="4"/>
    <s v="Free"/>
    <n v="0"/>
    <n v="0"/>
    <n v="0"/>
    <x v="0"/>
    <n v="0"/>
    <n v="0"/>
    <n v="0"/>
    <m/>
    <n v="69.400000000000006"/>
    <m/>
    <n v="0"/>
  </r>
  <r>
    <s v="USR-100232"/>
    <d v="2025-05-04T00:00:00"/>
    <x v="0"/>
    <x v="0"/>
    <x v="0"/>
    <x v="1"/>
    <s v="Basic"/>
    <n v="1"/>
    <n v="0"/>
    <n v="0"/>
    <x v="0"/>
    <n v="0"/>
    <n v="0"/>
    <n v="0"/>
    <m/>
    <n v="56.1"/>
    <m/>
    <n v="0"/>
  </r>
  <r>
    <s v="USR-100233"/>
    <d v="2025-01-12T00:00:00"/>
    <x v="0"/>
    <x v="1"/>
    <x v="1"/>
    <x v="1"/>
    <s v="Basic"/>
    <n v="0"/>
    <n v="0"/>
    <n v="0"/>
    <x v="0"/>
    <n v="0"/>
    <n v="0"/>
    <n v="0"/>
    <m/>
    <n v="55.8"/>
    <m/>
    <n v="0"/>
  </r>
  <r>
    <s v="USR-100234"/>
    <d v="2025-04-28T00:00:00"/>
    <x v="0"/>
    <x v="0"/>
    <x v="2"/>
    <x v="1"/>
    <s v="Free"/>
    <n v="0"/>
    <n v="0"/>
    <n v="0"/>
    <x v="0"/>
    <n v="0"/>
    <n v="0"/>
    <n v="0"/>
    <m/>
    <n v="49.3"/>
    <m/>
    <n v="0"/>
  </r>
  <r>
    <s v="USR-100235"/>
    <d v="2025-02-26T00:00:00"/>
    <x v="0"/>
    <x v="0"/>
    <x v="1"/>
    <x v="1"/>
    <s v="Free"/>
    <n v="0"/>
    <n v="0"/>
    <n v="0"/>
    <x v="0"/>
    <n v="0"/>
    <n v="0"/>
    <n v="0"/>
    <m/>
    <n v="71.8"/>
    <m/>
    <n v="0"/>
  </r>
  <r>
    <s v="USR-100236"/>
    <d v="2025-03-18T00:00:00"/>
    <x v="0"/>
    <x v="1"/>
    <x v="1"/>
    <x v="4"/>
    <s v="Free"/>
    <n v="1"/>
    <n v="0"/>
    <n v="0"/>
    <x v="0"/>
    <n v="0"/>
    <n v="3"/>
    <n v="0"/>
    <m/>
    <n v="39.700000000000003"/>
    <m/>
    <n v="1"/>
  </r>
  <r>
    <s v="USR-100237"/>
    <d v="2025-03-01T00:00:00"/>
    <x v="0"/>
    <x v="3"/>
    <x v="0"/>
    <x v="1"/>
    <s v="Premium"/>
    <n v="1"/>
    <n v="0"/>
    <n v="0"/>
    <x v="0"/>
    <n v="0"/>
    <n v="0"/>
    <n v="0"/>
    <m/>
    <n v="45.4"/>
    <m/>
    <n v="0"/>
  </r>
  <r>
    <s v="USR-100238"/>
    <d v="2025-04-05T00:00:00"/>
    <x v="0"/>
    <x v="0"/>
    <x v="0"/>
    <x v="4"/>
    <s v="Premium"/>
    <n v="1"/>
    <n v="0"/>
    <n v="0"/>
    <x v="0"/>
    <n v="0"/>
    <n v="0"/>
    <n v="0"/>
    <m/>
    <n v="69.900000000000006"/>
    <m/>
    <n v="0"/>
  </r>
  <r>
    <s v="USR-100239"/>
    <d v="2025-03-12T00:00:00"/>
    <x v="0"/>
    <x v="0"/>
    <x v="0"/>
    <x v="4"/>
    <s v="Free"/>
    <n v="1"/>
    <n v="1"/>
    <n v="1"/>
    <x v="0"/>
    <n v="0"/>
    <n v="0"/>
    <n v="0"/>
    <m/>
    <n v="56.1"/>
    <m/>
    <n v="0"/>
  </r>
  <r>
    <s v="USR-100240"/>
    <d v="2025-03-15T00:00:00"/>
    <x v="0"/>
    <x v="1"/>
    <x v="1"/>
    <x v="3"/>
    <s v="Basic"/>
    <n v="1"/>
    <n v="1"/>
    <n v="0"/>
    <x v="0"/>
    <n v="0"/>
    <n v="0"/>
    <n v="0"/>
    <m/>
    <n v="45.9"/>
    <m/>
    <n v="0"/>
  </r>
  <r>
    <s v="USR-100241"/>
    <d v="2025-02-23T00:00:00"/>
    <x v="0"/>
    <x v="1"/>
    <x v="1"/>
    <x v="0"/>
    <s v="Free"/>
    <n v="0"/>
    <n v="0"/>
    <n v="0"/>
    <x v="0"/>
    <n v="0"/>
    <n v="0"/>
    <n v="0"/>
    <m/>
    <n v="65.8"/>
    <m/>
    <n v="0"/>
  </r>
  <r>
    <s v="USR-100242"/>
    <d v="2025-04-22T00:00:00"/>
    <x v="0"/>
    <x v="0"/>
    <x v="1"/>
    <x v="1"/>
    <s v="Basic"/>
    <n v="1"/>
    <n v="0"/>
    <n v="0"/>
    <x v="0"/>
    <n v="0"/>
    <n v="0"/>
    <n v="0"/>
    <m/>
    <n v="48.2"/>
    <m/>
    <n v="0"/>
  </r>
  <r>
    <s v="USR-100243"/>
    <d v="2025-01-09T00:00:00"/>
    <x v="0"/>
    <x v="2"/>
    <x v="1"/>
    <x v="1"/>
    <s v="Basic"/>
    <n v="1"/>
    <n v="1"/>
    <n v="1"/>
    <x v="0"/>
    <n v="0"/>
    <n v="0"/>
    <n v="0"/>
    <m/>
    <n v="81.099999999999994"/>
    <m/>
    <n v="0"/>
  </r>
  <r>
    <s v="USR-100244"/>
    <d v="2025-03-05T00:00:00"/>
    <x v="0"/>
    <x v="2"/>
    <x v="2"/>
    <x v="4"/>
    <s v="Premium"/>
    <n v="1"/>
    <n v="1"/>
    <n v="0"/>
    <x v="0"/>
    <n v="0"/>
    <n v="0"/>
    <n v="0"/>
    <m/>
    <n v="53.2"/>
    <m/>
    <n v="0"/>
  </r>
  <r>
    <s v="USR-100245"/>
    <d v="2025-01-28T00:00:00"/>
    <x v="0"/>
    <x v="0"/>
    <x v="1"/>
    <x v="4"/>
    <s v="Free"/>
    <n v="1"/>
    <n v="1"/>
    <n v="1"/>
    <x v="0"/>
    <n v="0"/>
    <n v="0"/>
    <n v="0"/>
    <m/>
    <n v="57.7"/>
    <m/>
    <n v="0"/>
  </r>
  <r>
    <s v="USR-100246"/>
    <d v="2025-01-21T00:00:00"/>
    <x v="0"/>
    <x v="1"/>
    <x v="1"/>
    <x v="2"/>
    <s v="Premium"/>
    <n v="1"/>
    <n v="1"/>
    <n v="0"/>
    <x v="0"/>
    <n v="0"/>
    <n v="0"/>
    <n v="0"/>
    <m/>
    <n v="78.900000000000006"/>
    <m/>
    <n v="0"/>
  </r>
  <r>
    <s v="USR-100247"/>
    <d v="2025-03-14T00:00:00"/>
    <x v="0"/>
    <x v="3"/>
    <x v="1"/>
    <x v="3"/>
    <s v="Basic"/>
    <n v="0"/>
    <n v="0"/>
    <n v="0"/>
    <x v="0"/>
    <n v="0"/>
    <n v="0"/>
    <n v="0"/>
    <m/>
    <n v="55.7"/>
    <m/>
    <n v="0"/>
  </r>
  <r>
    <s v="USR-100248"/>
    <d v="2025-02-03T00:00:00"/>
    <x v="0"/>
    <x v="1"/>
    <x v="1"/>
    <x v="2"/>
    <s v="Free"/>
    <n v="0"/>
    <n v="0"/>
    <n v="0"/>
    <x v="0"/>
    <n v="0"/>
    <n v="0"/>
    <n v="0"/>
    <m/>
    <n v="52.3"/>
    <m/>
    <n v="0"/>
  </r>
  <r>
    <s v="USR-100249"/>
    <d v="2025-05-22T00:00:00"/>
    <x v="0"/>
    <x v="0"/>
    <x v="1"/>
    <x v="4"/>
    <s v="Free"/>
    <n v="1"/>
    <n v="0"/>
    <n v="0"/>
    <x v="0"/>
    <n v="0"/>
    <n v="0"/>
    <n v="0"/>
    <m/>
    <n v="51.5"/>
    <m/>
    <n v="0"/>
  </r>
  <r>
    <s v="USR-100250"/>
    <d v="2025-04-25T00:00:00"/>
    <x v="0"/>
    <x v="0"/>
    <x v="0"/>
    <x v="0"/>
    <s v="Free"/>
    <n v="1"/>
    <n v="0"/>
    <n v="0"/>
    <x v="0"/>
    <n v="0"/>
    <n v="0"/>
    <n v="0"/>
    <m/>
    <n v="70.8"/>
    <m/>
    <n v="0"/>
  </r>
  <r>
    <s v="USR-100251"/>
    <d v="2025-01-30T00:00:00"/>
    <x v="0"/>
    <x v="0"/>
    <x v="0"/>
    <x v="0"/>
    <s v="Basic"/>
    <n v="1"/>
    <n v="1"/>
    <n v="1"/>
    <x v="1"/>
    <n v="1250.78"/>
    <n v="0"/>
    <n v="0"/>
    <n v="10"/>
    <n v="39"/>
    <m/>
    <n v="0"/>
  </r>
  <r>
    <s v="USR-100252"/>
    <d v="2025-05-23T00:00:00"/>
    <x v="0"/>
    <x v="1"/>
    <x v="1"/>
    <x v="1"/>
    <s v="Free"/>
    <n v="1"/>
    <n v="0"/>
    <n v="0"/>
    <x v="0"/>
    <n v="0"/>
    <n v="0"/>
    <n v="0"/>
    <m/>
    <n v="61.6"/>
    <m/>
    <n v="0"/>
  </r>
  <r>
    <s v="USR-100253"/>
    <d v="2025-02-14T00:00:00"/>
    <x v="0"/>
    <x v="2"/>
    <x v="0"/>
    <x v="1"/>
    <s v="Free"/>
    <n v="1"/>
    <n v="1"/>
    <n v="1"/>
    <x v="0"/>
    <n v="0"/>
    <n v="0"/>
    <n v="0"/>
    <m/>
    <n v="46.8"/>
    <m/>
    <n v="0"/>
  </r>
  <r>
    <s v="USR-100254"/>
    <d v="2025-03-05T00:00:00"/>
    <x v="0"/>
    <x v="0"/>
    <x v="1"/>
    <x v="2"/>
    <s v="Premium"/>
    <n v="0"/>
    <n v="0"/>
    <n v="0"/>
    <x v="0"/>
    <n v="0"/>
    <n v="1"/>
    <n v="0"/>
    <m/>
    <n v="58.5"/>
    <m/>
    <n v="1"/>
  </r>
  <r>
    <s v="USR-100255"/>
    <d v="2025-05-27T00:00:00"/>
    <x v="0"/>
    <x v="0"/>
    <x v="1"/>
    <x v="2"/>
    <s v="Basic"/>
    <n v="0"/>
    <n v="0"/>
    <n v="0"/>
    <x v="0"/>
    <n v="0"/>
    <n v="0"/>
    <n v="0"/>
    <m/>
    <n v="70.900000000000006"/>
    <m/>
    <n v="0"/>
  </r>
  <r>
    <s v="USR-100256"/>
    <d v="2025-01-07T00:00:00"/>
    <x v="0"/>
    <x v="3"/>
    <x v="1"/>
    <x v="2"/>
    <s v="Free"/>
    <n v="1"/>
    <n v="0"/>
    <n v="0"/>
    <x v="0"/>
    <n v="0"/>
    <n v="0"/>
    <n v="0"/>
    <m/>
    <n v="48.4"/>
    <m/>
    <n v="0"/>
  </r>
  <r>
    <s v="USR-100257"/>
    <d v="2025-04-21T00:00:00"/>
    <x v="0"/>
    <x v="0"/>
    <x v="1"/>
    <x v="0"/>
    <s v="Free"/>
    <n v="1"/>
    <n v="0"/>
    <n v="0"/>
    <x v="0"/>
    <n v="0"/>
    <n v="0"/>
    <n v="0"/>
    <m/>
    <n v="58"/>
    <m/>
    <n v="0"/>
  </r>
  <r>
    <s v="USR-100258"/>
    <d v="2025-05-13T00:00:00"/>
    <x v="0"/>
    <x v="0"/>
    <x v="1"/>
    <x v="2"/>
    <s v="Free"/>
    <n v="0"/>
    <n v="0"/>
    <n v="0"/>
    <x v="0"/>
    <n v="0"/>
    <n v="0"/>
    <n v="0"/>
    <m/>
    <n v="61.6"/>
    <m/>
    <n v="0"/>
  </r>
  <r>
    <s v="USR-100259"/>
    <d v="2025-01-28T00:00:00"/>
    <x v="0"/>
    <x v="2"/>
    <x v="0"/>
    <x v="1"/>
    <s v="Free"/>
    <n v="1"/>
    <n v="0"/>
    <n v="0"/>
    <x v="0"/>
    <n v="0"/>
    <n v="0"/>
    <n v="0"/>
    <m/>
    <n v="43.2"/>
    <m/>
    <n v="0"/>
  </r>
  <r>
    <s v="USR-100260"/>
    <d v="2025-03-16T00:00:00"/>
    <x v="0"/>
    <x v="2"/>
    <x v="0"/>
    <x v="2"/>
    <s v="Basic"/>
    <n v="1"/>
    <n v="0"/>
    <n v="0"/>
    <x v="0"/>
    <n v="0"/>
    <n v="1"/>
    <n v="0"/>
    <m/>
    <n v="53.3"/>
    <m/>
    <n v="1"/>
  </r>
  <r>
    <s v="USR-100261"/>
    <d v="2025-04-10T00:00:00"/>
    <x v="0"/>
    <x v="2"/>
    <x v="0"/>
    <x v="4"/>
    <s v="Basic"/>
    <n v="0"/>
    <n v="0"/>
    <n v="0"/>
    <x v="0"/>
    <n v="0"/>
    <n v="0"/>
    <n v="0"/>
    <m/>
    <n v="33.9"/>
    <m/>
    <n v="0"/>
  </r>
  <r>
    <s v="USR-100262"/>
    <d v="2025-03-15T00:00:00"/>
    <x v="0"/>
    <x v="2"/>
    <x v="0"/>
    <x v="3"/>
    <s v="Free"/>
    <n v="1"/>
    <n v="1"/>
    <n v="1"/>
    <x v="0"/>
    <n v="0"/>
    <n v="0"/>
    <n v="0"/>
    <m/>
    <n v="35.4"/>
    <m/>
    <n v="0"/>
  </r>
  <r>
    <s v="USR-100263"/>
    <d v="2025-04-07T00:00:00"/>
    <x v="0"/>
    <x v="1"/>
    <x v="0"/>
    <x v="1"/>
    <s v="Basic"/>
    <n v="1"/>
    <n v="0"/>
    <n v="0"/>
    <x v="0"/>
    <n v="0"/>
    <n v="0"/>
    <n v="0"/>
    <m/>
    <n v="45"/>
    <m/>
    <n v="0"/>
  </r>
  <r>
    <s v="USR-100264"/>
    <d v="2025-02-12T00:00:00"/>
    <x v="0"/>
    <x v="3"/>
    <x v="1"/>
    <x v="1"/>
    <s v="Free"/>
    <n v="1"/>
    <n v="1"/>
    <n v="0"/>
    <x v="0"/>
    <n v="0"/>
    <n v="0"/>
    <n v="0"/>
    <m/>
    <n v="86.5"/>
    <m/>
    <n v="0"/>
  </r>
  <r>
    <s v="USR-100265"/>
    <d v="2025-05-05T00:00:00"/>
    <x v="0"/>
    <x v="1"/>
    <x v="1"/>
    <x v="4"/>
    <s v="Free"/>
    <n v="0"/>
    <n v="0"/>
    <n v="0"/>
    <x v="0"/>
    <n v="0"/>
    <n v="0"/>
    <n v="0"/>
    <m/>
    <n v="58.1"/>
    <m/>
    <n v="0"/>
  </r>
  <r>
    <s v="USR-100266"/>
    <d v="2025-03-11T00:00:00"/>
    <x v="0"/>
    <x v="1"/>
    <x v="1"/>
    <x v="3"/>
    <s v="Free"/>
    <n v="1"/>
    <n v="0"/>
    <n v="0"/>
    <x v="0"/>
    <n v="0"/>
    <n v="0"/>
    <n v="0"/>
    <m/>
    <n v="36.1"/>
    <m/>
    <n v="0"/>
  </r>
  <r>
    <s v="USR-100267"/>
    <d v="2025-02-10T00:00:00"/>
    <x v="0"/>
    <x v="2"/>
    <x v="1"/>
    <x v="4"/>
    <s v="Free"/>
    <n v="0"/>
    <n v="0"/>
    <n v="0"/>
    <x v="0"/>
    <n v="0"/>
    <n v="0"/>
    <n v="0"/>
    <m/>
    <n v="62.8"/>
    <m/>
    <n v="0"/>
  </r>
  <r>
    <s v="USR-100268"/>
    <d v="2025-04-06T00:00:00"/>
    <x v="0"/>
    <x v="3"/>
    <x v="1"/>
    <x v="1"/>
    <s v="Free"/>
    <n v="0"/>
    <n v="0"/>
    <n v="0"/>
    <x v="0"/>
    <n v="0"/>
    <n v="0"/>
    <n v="0"/>
    <m/>
    <n v="54.2"/>
    <m/>
    <n v="0"/>
  </r>
  <r>
    <s v="USR-100269"/>
    <d v="2025-01-06T00:00:00"/>
    <x v="0"/>
    <x v="2"/>
    <x v="1"/>
    <x v="3"/>
    <s v="Free"/>
    <n v="0"/>
    <n v="0"/>
    <n v="0"/>
    <x v="0"/>
    <n v="0"/>
    <n v="0"/>
    <n v="0"/>
    <m/>
    <n v="50"/>
    <m/>
    <n v="0"/>
  </r>
  <r>
    <s v="USR-100270"/>
    <d v="2025-03-25T00:00:00"/>
    <x v="0"/>
    <x v="2"/>
    <x v="2"/>
    <x v="2"/>
    <s v="Basic"/>
    <n v="1"/>
    <n v="0"/>
    <n v="0"/>
    <x v="0"/>
    <n v="0"/>
    <n v="0"/>
    <n v="0"/>
    <m/>
    <n v="62"/>
    <m/>
    <n v="0"/>
  </r>
  <r>
    <s v="USR-100271"/>
    <d v="2025-02-13T00:00:00"/>
    <x v="0"/>
    <x v="2"/>
    <x v="0"/>
    <x v="3"/>
    <s v="Free"/>
    <n v="1"/>
    <n v="0"/>
    <n v="0"/>
    <x v="0"/>
    <n v="0"/>
    <n v="0"/>
    <n v="0"/>
    <m/>
    <n v="29.3"/>
    <m/>
    <n v="0"/>
  </r>
  <r>
    <s v="USR-100272"/>
    <d v="2025-03-17T00:00:00"/>
    <x v="0"/>
    <x v="1"/>
    <x v="0"/>
    <x v="1"/>
    <s v="Free"/>
    <n v="1"/>
    <n v="0"/>
    <n v="0"/>
    <x v="0"/>
    <n v="0"/>
    <n v="0"/>
    <n v="0"/>
    <m/>
    <n v="67.900000000000006"/>
    <m/>
    <n v="0"/>
  </r>
  <r>
    <s v="USR-100273"/>
    <d v="2025-05-10T00:00:00"/>
    <x v="0"/>
    <x v="0"/>
    <x v="1"/>
    <x v="3"/>
    <s v="Free"/>
    <n v="1"/>
    <n v="1"/>
    <n v="1"/>
    <x v="0"/>
    <n v="0"/>
    <n v="0"/>
    <n v="0"/>
    <m/>
    <n v="67.599999999999994"/>
    <m/>
    <n v="0"/>
  </r>
  <r>
    <s v="USR-100274"/>
    <d v="2025-05-07T00:00:00"/>
    <x v="0"/>
    <x v="3"/>
    <x v="1"/>
    <x v="2"/>
    <s v="Basic"/>
    <n v="0"/>
    <n v="0"/>
    <n v="0"/>
    <x v="0"/>
    <n v="0"/>
    <n v="0"/>
    <n v="0"/>
    <m/>
    <n v="67.400000000000006"/>
    <m/>
    <n v="0"/>
  </r>
  <r>
    <s v="USR-100275"/>
    <d v="2025-02-26T00:00:00"/>
    <x v="0"/>
    <x v="1"/>
    <x v="0"/>
    <x v="2"/>
    <s v="Premium"/>
    <n v="0"/>
    <n v="0"/>
    <n v="0"/>
    <x v="0"/>
    <n v="0"/>
    <n v="2"/>
    <n v="0"/>
    <m/>
    <n v="53"/>
    <m/>
    <n v="1"/>
  </r>
  <r>
    <s v="USR-100276"/>
    <d v="2025-05-11T00:00:00"/>
    <x v="0"/>
    <x v="0"/>
    <x v="1"/>
    <x v="1"/>
    <s v="Basic"/>
    <n v="0"/>
    <n v="0"/>
    <n v="0"/>
    <x v="0"/>
    <n v="0"/>
    <n v="0"/>
    <n v="0"/>
    <m/>
    <n v="65.5"/>
    <m/>
    <n v="0"/>
  </r>
  <r>
    <s v="USR-100277"/>
    <d v="2025-03-20T00:00:00"/>
    <x v="0"/>
    <x v="3"/>
    <x v="1"/>
    <x v="1"/>
    <s v="Basic"/>
    <n v="1"/>
    <n v="1"/>
    <n v="0"/>
    <x v="0"/>
    <n v="0"/>
    <n v="0"/>
    <n v="0"/>
    <m/>
    <n v="49.6"/>
    <m/>
    <n v="0"/>
  </r>
  <r>
    <s v="USR-100278"/>
    <d v="2025-01-19T00:00:00"/>
    <x v="0"/>
    <x v="0"/>
    <x v="1"/>
    <x v="0"/>
    <s v="Free"/>
    <n v="1"/>
    <n v="1"/>
    <n v="0"/>
    <x v="0"/>
    <n v="0"/>
    <n v="0"/>
    <n v="0"/>
    <m/>
    <n v="74.5"/>
    <m/>
    <n v="0"/>
  </r>
  <r>
    <s v="USR-100279"/>
    <d v="2025-03-08T00:00:00"/>
    <x v="0"/>
    <x v="0"/>
    <x v="2"/>
    <x v="2"/>
    <s v="Premium"/>
    <n v="1"/>
    <n v="0"/>
    <n v="0"/>
    <x v="0"/>
    <n v="0"/>
    <n v="1"/>
    <n v="0"/>
    <m/>
    <n v="46.9"/>
    <m/>
    <n v="1"/>
  </r>
  <r>
    <s v="USR-100280"/>
    <d v="2025-04-25T00:00:00"/>
    <x v="0"/>
    <x v="0"/>
    <x v="1"/>
    <x v="1"/>
    <s v="Free"/>
    <n v="0"/>
    <n v="0"/>
    <n v="0"/>
    <x v="0"/>
    <n v="0"/>
    <n v="0"/>
    <n v="0"/>
    <m/>
    <n v="87.1"/>
    <m/>
    <n v="0"/>
  </r>
  <r>
    <s v="USR-100281"/>
    <d v="2025-04-04T00:00:00"/>
    <x v="0"/>
    <x v="0"/>
    <x v="0"/>
    <x v="1"/>
    <s v="Free"/>
    <n v="1"/>
    <n v="0"/>
    <n v="0"/>
    <x v="0"/>
    <n v="0"/>
    <n v="0"/>
    <n v="0"/>
    <m/>
    <n v="56"/>
    <m/>
    <n v="0"/>
  </r>
  <r>
    <s v="USR-100282"/>
    <d v="2025-05-01T00:00:00"/>
    <x v="0"/>
    <x v="2"/>
    <x v="1"/>
    <x v="2"/>
    <s v="Premium"/>
    <n v="1"/>
    <n v="0"/>
    <n v="0"/>
    <x v="0"/>
    <n v="0"/>
    <n v="1"/>
    <n v="0"/>
    <m/>
    <n v="61.7"/>
    <m/>
    <n v="1"/>
  </r>
  <r>
    <s v="USR-100283"/>
    <d v="2025-01-21T00:00:00"/>
    <x v="0"/>
    <x v="3"/>
    <x v="1"/>
    <x v="4"/>
    <s v="Free"/>
    <n v="1"/>
    <n v="0"/>
    <n v="0"/>
    <x v="0"/>
    <n v="0"/>
    <n v="1"/>
    <n v="0"/>
    <m/>
    <n v="70.5"/>
    <m/>
    <n v="1"/>
  </r>
  <r>
    <s v="USR-100284"/>
    <d v="2025-02-10T00:00:00"/>
    <x v="0"/>
    <x v="0"/>
    <x v="0"/>
    <x v="3"/>
    <s v="Basic"/>
    <n v="1"/>
    <n v="0"/>
    <n v="0"/>
    <x v="0"/>
    <n v="0"/>
    <n v="0"/>
    <n v="0"/>
    <m/>
    <n v="33.4"/>
    <m/>
    <n v="0"/>
  </r>
  <r>
    <s v="USR-100285"/>
    <d v="2025-05-06T00:00:00"/>
    <x v="0"/>
    <x v="3"/>
    <x v="0"/>
    <x v="1"/>
    <s v="Free"/>
    <n v="1"/>
    <n v="0"/>
    <n v="0"/>
    <x v="0"/>
    <n v="0"/>
    <n v="0"/>
    <n v="0"/>
    <m/>
    <n v="57.5"/>
    <m/>
    <n v="0"/>
  </r>
  <r>
    <s v="USR-100286"/>
    <d v="2025-02-08T00:00:00"/>
    <x v="0"/>
    <x v="0"/>
    <x v="0"/>
    <x v="2"/>
    <s v="Basic"/>
    <n v="1"/>
    <n v="1"/>
    <n v="0"/>
    <x v="0"/>
    <n v="0"/>
    <n v="0"/>
    <n v="0"/>
    <m/>
    <n v="85.7"/>
    <m/>
    <n v="0"/>
  </r>
  <r>
    <s v="USR-100287"/>
    <d v="2025-05-31T00:00:00"/>
    <x v="0"/>
    <x v="2"/>
    <x v="1"/>
    <x v="4"/>
    <s v="Free"/>
    <n v="1"/>
    <n v="0"/>
    <n v="0"/>
    <x v="0"/>
    <n v="0"/>
    <n v="0"/>
    <n v="0"/>
    <m/>
    <n v="41.9"/>
    <m/>
    <n v="0"/>
  </r>
  <r>
    <s v="USR-100288"/>
    <d v="2025-02-07T00:00:00"/>
    <x v="0"/>
    <x v="1"/>
    <x v="1"/>
    <x v="0"/>
    <s v="Basic"/>
    <n v="1"/>
    <n v="0"/>
    <n v="0"/>
    <x v="0"/>
    <n v="0"/>
    <n v="0"/>
    <n v="0"/>
    <m/>
    <n v="70.2"/>
    <m/>
    <n v="0"/>
  </r>
  <r>
    <s v="USR-100289"/>
    <d v="2025-02-10T00:00:00"/>
    <x v="0"/>
    <x v="0"/>
    <x v="1"/>
    <x v="4"/>
    <s v="Free"/>
    <n v="1"/>
    <n v="0"/>
    <n v="0"/>
    <x v="0"/>
    <n v="0"/>
    <n v="0"/>
    <n v="0"/>
    <m/>
    <n v="42.6"/>
    <m/>
    <n v="0"/>
  </r>
  <r>
    <s v="USR-100290"/>
    <d v="2025-01-31T00:00:00"/>
    <x v="0"/>
    <x v="1"/>
    <x v="1"/>
    <x v="4"/>
    <s v="Basic"/>
    <n v="0"/>
    <n v="0"/>
    <n v="0"/>
    <x v="0"/>
    <n v="0"/>
    <n v="2"/>
    <n v="0"/>
    <m/>
    <n v="30.4"/>
    <m/>
    <n v="1"/>
  </r>
  <r>
    <s v="USR-100291"/>
    <d v="2025-03-16T00:00:00"/>
    <x v="0"/>
    <x v="2"/>
    <x v="1"/>
    <x v="2"/>
    <s v="Basic"/>
    <n v="1"/>
    <n v="0"/>
    <n v="0"/>
    <x v="0"/>
    <n v="0"/>
    <n v="0"/>
    <n v="0"/>
    <m/>
    <n v="63.7"/>
    <m/>
    <n v="0"/>
  </r>
  <r>
    <s v="USR-100292"/>
    <d v="2025-04-24T00:00:00"/>
    <x v="0"/>
    <x v="3"/>
    <x v="1"/>
    <x v="4"/>
    <s v="Basic"/>
    <n v="0"/>
    <n v="0"/>
    <n v="0"/>
    <x v="0"/>
    <n v="0"/>
    <n v="0"/>
    <n v="0"/>
    <m/>
    <n v="42.7"/>
    <m/>
    <n v="0"/>
  </r>
  <r>
    <s v="USR-100293"/>
    <d v="2025-01-28T00:00:00"/>
    <x v="0"/>
    <x v="0"/>
    <x v="1"/>
    <x v="1"/>
    <s v="Free"/>
    <n v="0"/>
    <n v="0"/>
    <n v="0"/>
    <x v="0"/>
    <n v="0"/>
    <n v="0"/>
    <n v="0"/>
    <m/>
    <n v="74.3"/>
    <m/>
    <n v="0"/>
  </r>
  <r>
    <s v="USR-100294"/>
    <d v="2025-02-16T00:00:00"/>
    <x v="0"/>
    <x v="1"/>
    <x v="0"/>
    <x v="0"/>
    <s v="Free"/>
    <n v="1"/>
    <n v="0"/>
    <n v="0"/>
    <x v="0"/>
    <n v="0"/>
    <n v="0"/>
    <n v="0"/>
    <m/>
    <n v="40.6"/>
    <m/>
    <n v="0"/>
  </r>
  <r>
    <s v="USR-100295"/>
    <d v="2025-03-23T00:00:00"/>
    <x v="0"/>
    <x v="2"/>
    <x v="1"/>
    <x v="1"/>
    <s v="Premium"/>
    <n v="0"/>
    <n v="0"/>
    <n v="0"/>
    <x v="0"/>
    <n v="0"/>
    <n v="0"/>
    <n v="0"/>
    <m/>
    <n v="67"/>
    <m/>
    <n v="0"/>
  </r>
  <r>
    <s v="USR-100296"/>
    <d v="2025-05-31T00:00:00"/>
    <x v="0"/>
    <x v="2"/>
    <x v="1"/>
    <x v="2"/>
    <s v="Premium"/>
    <n v="0"/>
    <n v="0"/>
    <n v="0"/>
    <x v="0"/>
    <n v="0"/>
    <n v="0"/>
    <n v="0"/>
    <m/>
    <n v="51"/>
    <m/>
    <n v="0"/>
  </r>
  <r>
    <s v="USR-100297"/>
    <d v="2025-04-13T00:00:00"/>
    <x v="0"/>
    <x v="1"/>
    <x v="1"/>
    <x v="4"/>
    <s v="Basic"/>
    <n v="1"/>
    <n v="1"/>
    <n v="0"/>
    <x v="0"/>
    <n v="0"/>
    <n v="1"/>
    <n v="0"/>
    <m/>
    <n v="54.8"/>
    <m/>
    <n v="1"/>
  </r>
  <r>
    <s v="USR-100298"/>
    <d v="2025-05-14T00:00:00"/>
    <x v="0"/>
    <x v="0"/>
    <x v="2"/>
    <x v="0"/>
    <s v="Basic"/>
    <n v="0"/>
    <n v="0"/>
    <n v="0"/>
    <x v="0"/>
    <n v="0"/>
    <n v="0"/>
    <n v="0"/>
    <m/>
    <n v="40.799999999999997"/>
    <m/>
    <n v="0"/>
  </r>
  <r>
    <s v="USR-100299"/>
    <d v="2025-02-19T00:00:00"/>
    <x v="0"/>
    <x v="2"/>
    <x v="1"/>
    <x v="2"/>
    <s v="Free"/>
    <n v="0"/>
    <n v="0"/>
    <n v="0"/>
    <x v="0"/>
    <n v="0"/>
    <n v="0"/>
    <n v="0"/>
    <m/>
    <n v="48.8"/>
    <m/>
    <n v="0"/>
  </r>
  <r>
    <s v="USR-100300"/>
    <d v="2025-01-24T00:00:00"/>
    <x v="0"/>
    <x v="3"/>
    <x v="1"/>
    <x v="5"/>
    <s v="Basic"/>
    <n v="1"/>
    <n v="1"/>
    <n v="1"/>
    <x v="1"/>
    <n v="1198.69"/>
    <n v="1"/>
    <n v="0"/>
    <n v="6"/>
    <n v="88.9"/>
    <m/>
    <n v="1"/>
  </r>
  <r>
    <s v="USR-100301"/>
    <d v="2025-05-09T00:00:00"/>
    <x v="0"/>
    <x v="0"/>
    <x v="1"/>
    <x v="0"/>
    <s v="Basic"/>
    <n v="1"/>
    <n v="1"/>
    <n v="1"/>
    <x v="0"/>
    <n v="0"/>
    <n v="1"/>
    <n v="0"/>
    <m/>
    <n v="60.5"/>
    <m/>
    <n v="1"/>
  </r>
  <r>
    <s v="USR-100302"/>
    <d v="2025-02-11T00:00:00"/>
    <x v="0"/>
    <x v="0"/>
    <x v="1"/>
    <x v="1"/>
    <s v="Basic"/>
    <n v="1"/>
    <n v="0"/>
    <n v="0"/>
    <x v="0"/>
    <n v="0"/>
    <n v="0"/>
    <n v="0"/>
    <m/>
    <n v="63.6"/>
    <m/>
    <n v="0"/>
  </r>
  <r>
    <s v="USR-100303"/>
    <d v="2025-02-26T00:00:00"/>
    <x v="0"/>
    <x v="0"/>
    <x v="0"/>
    <x v="1"/>
    <s v="Basic"/>
    <n v="1"/>
    <n v="1"/>
    <n v="1"/>
    <x v="1"/>
    <n v="6788.95"/>
    <n v="0"/>
    <n v="0"/>
    <n v="17"/>
    <n v="58.4"/>
    <m/>
    <n v="0"/>
  </r>
  <r>
    <s v="USR-100304"/>
    <d v="2025-02-12T00:00:00"/>
    <x v="0"/>
    <x v="3"/>
    <x v="1"/>
    <x v="4"/>
    <s v="Premium"/>
    <n v="0"/>
    <n v="0"/>
    <n v="0"/>
    <x v="0"/>
    <n v="0"/>
    <n v="0"/>
    <n v="0"/>
    <m/>
    <n v="52.7"/>
    <m/>
    <n v="0"/>
  </r>
  <r>
    <s v="USR-100305"/>
    <d v="2025-01-05T00:00:00"/>
    <x v="0"/>
    <x v="3"/>
    <x v="2"/>
    <x v="4"/>
    <s v="Premium"/>
    <n v="1"/>
    <n v="1"/>
    <n v="1"/>
    <x v="0"/>
    <n v="0"/>
    <n v="2"/>
    <n v="0"/>
    <m/>
    <n v="48.9"/>
    <m/>
    <n v="1"/>
  </r>
  <r>
    <s v="USR-100306"/>
    <d v="2025-05-19T00:00:00"/>
    <x v="0"/>
    <x v="1"/>
    <x v="1"/>
    <x v="1"/>
    <s v="Premium"/>
    <n v="0"/>
    <n v="0"/>
    <n v="0"/>
    <x v="0"/>
    <n v="0"/>
    <n v="0"/>
    <n v="0"/>
    <m/>
    <n v="79.7"/>
    <m/>
    <n v="0"/>
  </r>
  <r>
    <s v="USR-100307"/>
    <d v="2025-02-02T00:00:00"/>
    <x v="0"/>
    <x v="0"/>
    <x v="1"/>
    <x v="4"/>
    <s v="Free"/>
    <n v="1"/>
    <n v="0"/>
    <n v="0"/>
    <x v="0"/>
    <n v="0"/>
    <n v="0"/>
    <n v="0"/>
    <m/>
    <n v="44.9"/>
    <m/>
    <n v="0"/>
  </r>
  <r>
    <s v="USR-100308"/>
    <d v="2025-01-30T00:00:00"/>
    <x v="0"/>
    <x v="1"/>
    <x v="2"/>
    <x v="2"/>
    <s v="Free"/>
    <n v="1"/>
    <n v="1"/>
    <n v="1"/>
    <x v="1"/>
    <n v="409.39"/>
    <n v="0"/>
    <n v="0"/>
    <n v="10"/>
    <n v="38.799999999999997"/>
    <m/>
    <n v="0"/>
  </r>
  <r>
    <s v="USR-100309"/>
    <d v="2025-05-01T00:00:00"/>
    <x v="0"/>
    <x v="3"/>
    <x v="0"/>
    <x v="0"/>
    <s v="Free"/>
    <n v="0"/>
    <n v="0"/>
    <n v="0"/>
    <x v="0"/>
    <n v="0"/>
    <n v="0"/>
    <n v="0"/>
    <m/>
    <n v="70"/>
    <m/>
    <n v="0"/>
  </r>
  <r>
    <s v="USR-100310"/>
    <d v="2025-05-16T00:00:00"/>
    <x v="0"/>
    <x v="3"/>
    <x v="0"/>
    <x v="3"/>
    <s v="Basic"/>
    <n v="1"/>
    <n v="0"/>
    <n v="0"/>
    <x v="0"/>
    <n v="0"/>
    <n v="0"/>
    <n v="0"/>
    <m/>
    <n v="77.7"/>
    <m/>
    <n v="0"/>
  </r>
  <r>
    <s v="USR-100311"/>
    <d v="2025-03-08T00:00:00"/>
    <x v="0"/>
    <x v="1"/>
    <x v="1"/>
    <x v="1"/>
    <s v="Free"/>
    <n v="0"/>
    <n v="0"/>
    <n v="0"/>
    <x v="0"/>
    <n v="0"/>
    <n v="0"/>
    <n v="0"/>
    <m/>
    <n v="71.2"/>
    <m/>
    <n v="0"/>
  </r>
  <r>
    <s v="USR-100312"/>
    <d v="2025-04-04T00:00:00"/>
    <x v="0"/>
    <x v="0"/>
    <x v="1"/>
    <x v="1"/>
    <s v="Basic"/>
    <n v="1"/>
    <n v="0"/>
    <n v="0"/>
    <x v="0"/>
    <n v="0"/>
    <n v="0"/>
    <n v="0"/>
    <m/>
    <n v="43.8"/>
    <m/>
    <n v="0"/>
  </r>
  <r>
    <s v="USR-100313"/>
    <d v="2025-05-30T00:00:00"/>
    <x v="0"/>
    <x v="3"/>
    <x v="2"/>
    <x v="1"/>
    <s v="Free"/>
    <n v="1"/>
    <n v="0"/>
    <n v="0"/>
    <x v="0"/>
    <n v="0"/>
    <n v="0"/>
    <n v="0"/>
    <m/>
    <n v="50.9"/>
    <m/>
    <n v="0"/>
  </r>
  <r>
    <s v="USR-100314"/>
    <d v="2025-01-05T00:00:00"/>
    <x v="0"/>
    <x v="1"/>
    <x v="1"/>
    <x v="1"/>
    <s v="Premium"/>
    <n v="0"/>
    <n v="0"/>
    <n v="0"/>
    <x v="0"/>
    <n v="0"/>
    <n v="0"/>
    <n v="0"/>
    <m/>
    <n v="58.5"/>
    <m/>
    <n v="0"/>
  </r>
  <r>
    <s v="USR-100315"/>
    <d v="2025-01-20T00:00:00"/>
    <x v="0"/>
    <x v="2"/>
    <x v="1"/>
    <x v="1"/>
    <s v="Free"/>
    <n v="1"/>
    <n v="1"/>
    <n v="1"/>
    <x v="0"/>
    <n v="0"/>
    <n v="0"/>
    <n v="0"/>
    <m/>
    <n v="53.6"/>
    <m/>
    <n v="0"/>
  </r>
  <r>
    <s v="USR-100316"/>
    <d v="2025-05-01T00:00:00"/>
    <x v="0"/>
    <x v="2"/>
    <x v="1"/>
    <x v="0"/>
    <s v="Free"/>
    <n v="0"/>
    <n v="0"/>
    <n v="0"/>
    <x v="0"/>
    <n v="0"/>
    <n v="0"/>
    <n v="0"/>
    <m/>
    <n v="54.9"/>
    <m/>
    <n v="0"/>
  </r>
  <r>
    <s v="USR-100317"/>
    <d v="2025-03-05T00:00:00"/>
    <x v="0"/>
    <x v="0"/>
    <x v="0"/>
    <x v="1"/>
    <s v="Premium"/>
    <n v="0"/>
    <n v="0"/>
    <n v="0"/>
    <x v="0"/>
    <n v="0"/>
    <n v="0"/>
    <n v="0"/>
    <m/>
    <n v="57.3"/>
    <m/>
    <n v="0"/>
  </r>
  <r>
    <s v="USR-100318"/>
    <d v="2025-04-01T00:00:00"/>
    <x v="0"/>
    <x v="2"/>
    <x v="0"/>
    <x v="3"/>
    <s v="Free"/>
    <n v="1"/>
    <n v="0"/>
    <n v="0"/>
    <x v="0"/>
    <n v="0"/>
    <n v="0"/>
    <n v="0"/>
    <m/>
    <n v="52.1"/>
    <m/>
    <n v="0"/>
  </r>
  <r>
    <s v="USR-100319"/>
    <d v="2025-05-03T00:00:00"/>
    <x v="0"/>
    <x v="0"/>
    <x v="1"/>
    <x v="1"/>
    <s v="Free"/>
    <n v="1"/>
    <n v="0"/>
    <n v="0"/>
    <x v="0"/>
    <n v="0"/>
    <n v="0"/>
    <n v="0"/>
    <m/>
    <n v="80"/>
    <m/>
    <n v="0"/>
  </r>
  <r>
    <s v="USR-100320"/>
    <d v="2025-03-06T00:00:00"/>
    <x v="0"/>
    <x v="3"/>
    <x v="0"/>
    <x v="2"/>
    <s v="Premium"/>
    <n v="1"/>
    <n v="0"/>
    <n v="0"/>
    <x v="0"/>
    <n v="0"/>
    <n v="0"/>
    <n v="0"/>
    <m/>
    <n v="39.299999999999997"/>
    <m/>
    <n v="0"/>
  </r>
  <r>
    <s v="USR-100321"/>
    <d v="2025-04-01T00:00:00"/>
    <x v="0"/>
    <x v="0"/>
    <x v="0"/>
    <x v="3"/>
    <s v="Premium"/>
    <n v="0"/>
    <n v="0"/>
    <n v="0"/>
    <x v="0"/>
    <n v="0"/>
    <n v="0"/>
    <n v="0"/>
    <m/>
    <n v="45.7"/>
    <m/>
    <n v="0"/>
  </r>
  <r>
    <s v="USR-100322"/>
    <d v="2025-02-09T00:00:00"/>
    <x v="0"/>
    <x v="0"/>
    <x v="0"/>
    <x v="4"/>
    <s v="Basic"/>
    <n v="1"/>
    <n v="0"/>
    <n v="0"/>
    <x v="0"/>
    <n v="0"/>
    <n v="2"/>
    <n v="0"/>
    <m/>
    <n v="61.2"/>
    <m/>
    <n v="1"/>
  </r>
  <r>
    <s v="USR-100323"/>
    <d v="2025-04-12T00:00:00"/>
    <x v="0"/>
    <x v="1"/>
    <x v="1"/>
    <x v="1"/>
    <s v="Basic"/>
    <n v="1"/>
    <n v="1"/>
    <n v="0"/>
    <x v="0"/>
    <n v="0"/>
    <n v="0"/>
    <n v="0"/>
    <m/>
    <n v="66.2"/>
    <m/>
    <n v="0"/>
  </r>
  <r>
    <s v="USR-100324"/>
    <d v="2025-03-18T00:00:00"/>
    <x v="0"/>
    <x v="2"/>
    <x v="1"/>
    <x v="4"/>
    <s v="Free"/>
    <n v="1"/>
    <n v="1"/>
    <n v="1"/>
    <x v="0"/>
    <n v="0"/>
    <n v="0"/>
    <n v="0"/>
    <m/>
    <n v="61.3"/>
    <m/>
    <n v="0"/>
  </r>
  <r>
    <s v="USR-100325"/>
    <d v="2025-04-03T00:00:00"/>
    <x v="0"/>
    <x v="2"/>
    <x v="1"/>
    <x v="2"/>
    <s v="Free"/>
    <n v="1"/>
    <n v="0"/>
    <n v="0"/>
    <x v="0"/>
    <n v="0"/>
    <n v="0"/>
    <n v="0"/>
    <m/>
    <n v="72.2"/>
    <m/>
    <n v="0"/>
  </r>
  <r>
    <s v="USR-100326"/>
    <d v="2025-04-02T00:00:00"/>
    <x v="0"/>
    <x v="1"/>
    <x v="1"/>
    <x v="0"/>
    <s v="Premium"/>
    <n v="1"/>
    <n v="1"/>
    <n v="1"/>
    <x v="0"/>
    <n v="0"/>
    <n v="0"/>
    <n v="0"/>
    <m/>
    <n v="84"/>
    <m/>
    <n v="0"/>
  </r>
  <r>
    <s v="USR-100327"/>
    <d v="2025-05-10T00:00:00"/>
    <x v="0"/>
    <x v="1"/>
    <x v="0"/>
    <x v="0"/>
    <s v="Basic"/>
    <n v="0"/>
    <n v="0"/>
    <n v="0"/>
    <x v="0"/>
    <n v="0"/>
    <n v="0"/>
    <n v="0"/>
    <m/>
    <n v="59.8"/>
    <m/>
    <n v="0"/>
  </r>
  <r>
    <s v="USR-100328"/>
    <d v="2025-04-29T00:00:00"/>
    <x v="0"/>
    <x v="1"/>
    <x v="0"/>
    <x v="2"/>
    <s v="Free"/>
    <n v="1"/>
    <n v="0"/>
    <n v="0"/>
    <x v="0"/>
    <n v="0"/>
    <n v="0"/>
    <n v="0"/>
    <m/>
    <n v="64.900000000000006"/>
    <m/>
    <n v="0"/>
  </r>
  <r>
    <s v="USR-100329"/>
    <d v="2025-02-27T00:00:00"/>
    <x v="0"/>
    <x v="3"/>
    <x v="1"/>
    <x v="2"/>
    <s v="Free"/>
    <n v="1"/>
    <n v="0"/>
    <n v="0"/>
    <x v="0"/>
    <n v="0"/>
    <n v="0"/>
    <n v="0"/>
    <m/>
    <n v="66.8"/>
    <m/>
    <n v="0"/>
  </r>
  <r>
    <s v="USR-100330"/>
    <d v="2025-04-10T00:00:00"/>
    <x v="0"/>
    <x v="0"/>
    <x v="0"/>
    <x v="1"/>
    <s v="Premium"/>
    <n v="0"/>
    <n v="0"/>
    <n v="0"/>
    <x v="0"/>
    <n v="0"/>
    <n v="0"/>
    <n v="0"/>
    <m/>
    <n v="70.900000000000006"/>
    <m/>
    <n v="0"/>
  </r>
  <r>
    <s v="USR-100331"/>
    <d v="2025-02-13T00:00:00"/>
    <x v="0"/>
    <x v="2"/>
    <x v="1"/>
    <x v="1"/>
    <s v="Free"/>
    <n v="1"/>
    <n v="1"/>
    <n v="1"/>
    <x v="1"/>
    <n v="426.82"/>
    <n v="1"/>
    <n v="0"/>
    <n v="14"/>
    <n v="68.8"/>
    <m/>
    <n v="1"/>
  </r>
  <r>
    <s v="USR-100332"/>
    <d v="2025-05-03T00:00:00"/>
    <x v="0"/>
    <x v="0"/>
    <x v="1"/>
    <x v="1"/>
    <s v="Basic"/>
    <n v="1"/>
    <n v="0"/>
    <n v="0"/>
    <x v="0"/>
    <n v="0"/>
    <n v="0"/>
    <n v="0"/>
    <m/>
    <n v="72.400000000000006"/>
    <m/>
    <n v="0"/>
  </r>
  <r>
    <s v="USR-100333"/>
    <d v="2025-03-10T00:00:00"/>
    <x v="0"/>
    <x v="2"/>
    <x v="1"/>
    <x v="1"/>
    <s v="Basic"/>
    <n v="0"/>
    <n v="0"/>
    <n v="0"/>
    <x v="0"/>
    <n v="0"/>
    <n v="0"/>
    <n v="0"/>
    <m/>
    <n v="63.3"/>
    <m/>
    <n v="0"/>
  </r>
  <r>
    <s v="USR-100334"/>
    <d v="2025-01-10T00:00:00"/>
    <x v="0"/>
    <x v="1"/>
    <x v="2"/>
    <x v="4"/>
    <s v="Free"/>
    <n v="1"/>
    <n v="0"/>
    <n v="0"/>
    <x v="0"/>
    <n v="0"/>
    <n v="0"/>
    <n v="0"/>
    <m/>
    <n v="30.8"/>
    <m/>
    <n v="0"/>
  </r>
  <r>
    <s v="USR-100335"/>
    <d v="2025-01-16T00:00:00"/>
    <x v="0"/>
    <x v="3"/>
    <x v="1"/>
    <x v="0"/>
    <s v="Basic"/>
    <n v="1"/>
    <n v="1"/>
    <n v="1"/>
    <x v="1"/>
    <n v="874.55"/>
    <n v="0"/>
    <n v="0"/>
    <n v="9"/>
    <n v="44.2"/>
    <m/>
    <n v="0"/>
  </r>
  <r>
    <s v="USR-100336"/>
    <d v="2025-02-11T00:00:00"/>
    <x v="0"/>
    <x v="3"/>
    <x v="0"/>
    <x v="1"/>
    <s v="Premium"/>
    <n v="1"/>
    <n v="1"/>
    <n v="1"/>
    <x v="1"/>
    <n v="2206.88"/>
    <n v="0"/>
    <n v="0"/>
    <n v="10"/>
    <n v="56.2"/>
    <m/>
    <n v="0"/>
  </r>
  <r>
    <s v="USR-100337"/>
    <d v="2025-04-13T00:00:00"/>
    <x v="0"/>
    <x v="1"/>
    <x v="1"/>
    <x v="1"/>
    <s v="Free"/>
    <n v="0"/>
    <n v="0"/>
    <n v="0"/>
    <x v="0"/>
    <n v="0"/>
    <n v="0"/>
    <n v="0"/>
    <m/>
    <n v="40.4"/>
    <m/>
    <n v="0"/>
  </r>
  <r>
    <s v="USR-100338"/>
    <d v="2025-02-08T00:00:00"/>
    <x v="0"/>
    <x v="2"/>
    <x v="1"/>
    <x v="2"/>
    <s v="Free"/>
    <n v="1"/>
    <n v="1"/>
    <n v="1"/>
    <x v="0"/>
    <n v="0"/>
    <n v="0"/>
    <n v="0"/>
    <m/>
    <n v="68.099999999999994"/>
    <m/>
    <n v="0"/>
  </r>
  <r>
    <s v="USR-100339"/>
    <d v="2025-03-31T00:00:00"/>
    <x v="0"/>
    <x v="1"/>
    <x v="0"/>
    <x v="3"/>
    <s v="Free"/>
    <n v="1"/>
    <n v="0"/>
    <n v="0"/>
    <x v="0"/>
    <n v="0"/>
    <n v="0"/>
    <n v="0"/>
    <m/>
    <n v="86.3"/>
    <m/>
    <n v="0"/>
  </r>
  <r>
    <s v="USR-100340"/>
    <d v="2025-01-31T00:00:00"/>
    <x v="0"/>
    <x v="1"/>
    <x v="0"/>
    <x v="3"/>
    <s v="Free"/>
    <n v="1"/>
    <n v="1"/>
    <n v="0"/>
    <x v="0"/>
    <n v="0"/>
    <n v="0"/>
    <n v="0"/>
    <m/>
    <n v="42.9"/>
    <m/>
    <n v="0"/>
  </r>
  <r>
    <s v="USR-100341"/>
    <d v="2025-05-08T00:00:00"/>
    <x v="0"/>
    <x v="1"/>
    <x v="2"/>
    <x v="1"/>
    <s v="Free"/>
    <n v="0"/>
    <n v="0"/>
    <n v="0"/>
    <x v="0"/>
    <n v="0"/>
    <n v="0"/>
    <n v="0"/>
    <m/>
    <n v="61.4"/>
    <m/>
    <n v="0"/>
  </r>
  <r>
    <s v="USR-100342"/>
    <d v="2025-03-15T00:00:00"/>
    <x v="0"/>
    <x v="0"/>
    <x v="1"/>
    <x v="2"/>
    <s v="Free"/>
    <n v="1"/>
    <n v="0"/>
    <n v="0"/>
    <x v="0"/>
    <n v="0"/>
    <n v="1"/>
    <n v="0"/>
    <m/>
    <n v="73.3"/>
    <m/>
    <n v="1"/>
  </r>
  <r>
    <s v="USR-100343"/>
    <d v="2025-01-13T00:00:00"/>
    <x v="0"/>
    <x v="3"/>
    <x v="1"/>
    <x v="3"/>
    <s v="Basic"/>
    <n v="1"/>
    <n v="0"/>
    <n v="0"/>
    <x v="0"/>
    <n v="0"/>
    <n v="0"/>
    <n v="0"/>
    <m/>
    <n v="59.4"/>
    <m/>
    <n v="0"/>
  </r>
  <r>
    <s v="USR-100344"/>
    <d v="2025-03-07T00:00:00"/>
    <x v="0"/>
    <x v="3"/>
    <x v="2"/>
    <x v="1"/>
    <s v="Basic"/>
    <n v="1"/>
    <n v="0"/>
    <n v="0"/>
    <x v="0"/>
    <n v="0"/>
    <n v="0"/>
    <n v="0"/>
    <m/>
    <n v="35.200000000000003"/>
    <m/>
    <n v="0"/>
  </r>
  <r>
    <s v="USR-100345"/>
    <d v="2025-02-10T00:00:00"/>
    <x v="0"/>
    <x v="3"/>
    <x v="1"/>
    <x v="4"/>
    <s v="Premium"/>
    <n v="1"/>
    <n v="1"/>
    <n v="0"/>
    <x v="0"/>
    <n v="0"/>
    <n v="0"/>
    <n v="0"/>
    <m/>
    <n v="55.3"/>
    <m/>
    <n v="0"/>
  </r>
  <r>
    <s v="USR-100346"/>
    <d v="2025-03-12T00:00:00"/>
    <x v="0"/>
    <x v="2"/>
    <x v="1"/>
    <x v="2"/>
    <s v="Free"/>
    <n v="0"/>
    <n v="0"/>
    <n v="0"/>
    <x v="0"/>
    <n v="0"/>
    <n v="0"/>
    <n v="0"/>
    <m/>
    <n v="37.5"/>
    <m/>
    <n v="0"/>
  </r>
  <r>
    <s v="USR-100347"/>
    <d v="2025-01-03T00:00:00"/>
    <x v="0"/>
    <x v="3"/>
    <x v="0"/>
    <x v="2"/>
    <s v="Free"/>
    <n v="0"/>
    <n v="0"/>
    <n v="0"/>
    <x v="0"/>
    <n v="0"/>
    <n v="1"/>
    <n v="0"/>
    <m/>
    <n v="66.400000000000006"/>
    <m/>
    <n v="1"/>
  </r>
  <r>
    <s v="USR-100348"/>
    <d v="2025-04-28T00:00:00"/>
    <x v="0"/>
    <x v="0"/>
    <x v="2"/>
    <x v="4"/>
    <s v="Basic"/>
    <n v="1"/>
    <n v="0"/>
    <n v="0"/>
    <x v="0"/>
    <n v="0"/>
    <n v="0"/>
    <n v="0"/>
    <m/>
    <n v="61.9"/>
    <m/>
    <n v="0"/>
  </r>
  <r>
    <s v="USR-100349"/>
    <d v="2025-04-17T00:00:00"/>
    <x v="0"/>
    <x v="2"/>
    <x v="1"/>
    <x v="1"/>
    <s v="Free"/>
    <n v="0"/>
    <n v="0"/>
    <n v="0"/>
    <x v="0"/>
    <n v="0"/>
    <n v="0"/>
    <n v="0"/>
    <m/>
    <n v="56"/>
    <m/>
    <n v="0"/>
  </r>
  <r>
    <s v="USR-100350"/>
    <d v="2025-05-23T00:00:00"/>
    <x v="0"/>
    <x v="3"/>
    <x v="0"/>
    <x v="4"/>
    <s v="Basic"/>
    <n v="1"/>
    <n v="0"/>
    <n v="0"/>
    <x v="0"/>
    <n v="0"/>
    <n v="0"/>
    <n v="0"/>
    <m/>
    <n v="55.5"/>
    <m/>
    <n v="0"/>
  </r>
  <r>
    <s v="USR-100351"/>
    <d v="2025-02-19T00:00:00"/>
    <x v="0"/>
    <x v="1"/>
    <x v="2"/>
    <x v="3"/>
    <s v="Basic"/>
    <n v="1"/>
    <n v="0"/>
    <n v="0"/>
    <x v="0"/>
    <n v="0"/>
    <n v="0"/>
    <n v="0"/>
    <m/>
    <n v="37.200000000000003"/>
    <m/>
    <n v="0"/>
  </r>
  <r>
    <s v="USR-100352"/>
    <d v="2025-01-18T00:00:00"/>
    <x v="0"/>
    <x v="3"/>
    <x v="0"/>
    <x v="1"/>
    <s v="Free"/>
    <n v="1"/>
    <n v="1"/>
    <n v="0"/>
    <x v="0"/>
    <n v="0"/>
    <n v="1"/>
    <n v="0"/>
    <m/>
    <n v="70.5"/>
    <m/>
    <n v="1"/>
  </r>
  <r>
    <s v="USR-100353"/>
    <d v="2025-04-17T00:00:00"/>
    <x v="0"/>
    <x v="0"/>
    <x v="1"/>
    <x v="1"/>
    <s v="Free"/>
    <n v="0"/>
    <n v="0"/>
    <n v="0"/>
    <x v="0"/>
    <n v="0"/>
    <n v="0"/>
    <n v="0"/>
    <m/>
    <n v="61.2"/>
    <m/>
    <n v="0"/>
  </r>
  <r>
    <s v="USR-100354"/>
    <d v="2025-04-12T00:00:00"/>
    <x v="0"/>
    <x v="2"/>
    <x v="2"/>
    <x v="4"/>
    <s v="Free"/>
    <n v="1"/>
    <n v="1"/>
    <n v="1"/>
    <x v="0"/>
    <n v="0"/>
    <n v="0"/>
    <n v="0"/>
    <m/>
    <n v="64.599999999999994"/>
    <m/>
    <n v="0"/>
  </r>
  <r>
    <s v="USR-100355"/>
    <d v="2025-05-16T00:00:00"/>
    <x v="0"/>
    <x v="2"/>
    <x v="1"/>
    <x v="0"/>
    <s v="Free"/>
    <n v="1"/>
    <n v="1"/>
    <n v="0"/>
    <x v="0"/>
    <n v="0"/>
    <n v="0"/>
    <n v="0"/>
    <m/>
    <n v="91.7"/>
    <m/>
    <n v="0"/>
  </r>
  <r>
    <s v="USR-100356"/>
    <d v="2025-03-24T00:00:00"/>
    <x v="0"/>
    <x v="1"/>
    <x v="1"/>
    <x v="4"/>
    <s v="Free"/>
    <n v="0"/>
    <n v="0"/>
    <n v="0"/>
    <x v="0"/>
    <n v="0"/>
    <n v="0"/>
    <n v="0"/>
    <m/>
    <n v="46"/>
    <m/>
    <n v="0"/>
  </r>
  <r>
    <s v="USR-100357"/>
    <d v="2025-02-16T00:00:00"/>
    <x v="0"/>
    <x v="1"/>
    <x v="1"/>
    <x v="1"/>
    <s v="Basic"/>
    <n v="0"/>
    <n v="0"/>
    <n v="0"/>
    <x v="0"/>
    <n v="0"/>
    <n v="0"/>
    <n v="0"/>
    <m/>
    <n v="50.8"/>
    <m/>
    <n v="0"/>
  </r>
  <r>
    <s v="USR-100358"/>
    <d v="2025-03-19T00:00:00"/>
    <x v="0"/>
    <x v="0"/>
    <x v="2"/>
    <x v="1"/>
    <s v="Free"/>
    <n v="1"/>
    <n v="1"/>
    <n v="1"/>
    <x v="0"/>
    <n v="0"/>
    <n v="0"/>
    <n v="0"/>
    <m/>
    <n v="52.8"/>
    <m/>
    <n v="0"/>
  </r>
  <r>
    <s v="USR-100359"/>
    <d v="2025-04-21T00:00:00"/>
    <x v="0"/>
    <x v="3"/>
    <x v="1"/>
    <x v="1"/>
    <s v="Basic"/>
    <n v="1"/>
    <n v="1"/>
    <n v="1"/>
    <x v="0"/>
    <n v="0"/>
    <n v="0"/>
    <n v="0"/>
    <m/>
    <n v="63"/>
    <m/>
    <n v="0"/>
  </r>
  <r>
    <s v="USR-100360"/>
    <d v="2025-01-11T00:00:00"/>
    <x v="0"/>
    <x v="1"/>
    <x v="1"/>
    <x v="1"/>
    <s v="Free"/>
    <n v="0"/>
    <n v="0"/>
    <n v="0"/>
    <x v="0"/>
    <n v="0"/>
    <n v="0"/>
    <n v="0"/>
    <m/>
    <n v="28.4"/>
    <m/>
    <n v="0"/>
  </r>
  <r>
    <s v="USR-100361"/>
    <d v="2025-04-24T00:00:00"/>
    <x v="0"/>
    <x v="1"/>
    <x v="0"/>
    <x v="1"/>
    <s v="Free"/>
    <n v="1"/>
    <n v="1"/>
    <n v="0"/>
    <x v="0"/>
    <n v="0"/>
    <n v="0"/>
    <n v="0"/>
    <m/>
    <n v="65.599999999999994"/>
    <m/>
    <n v="0"/>
  </r>
  <r>
    <s v="USR-100362"/>
    <d v="2025-03-13T00:00:00"/>
    <x v="0"/>
    <x v="0"/>
    <x v="1"/>
    <x v="4"/>
    <s v="Premium"/>
    <n v="1"/>
    <n v="1"/>
    <n v="1"/>
    <x v="0"/>
    <n v="0"/>
    <n v="0"/>
    <n v="0"/>
    <m/>
    <n v="54.7"/>
    <m/>
    <n v="0"/>
  </r>
  <r>
    <s v="USR-100363"/>
    <d v="2025-01-30T00:00:00"/>
    <x v="0"/>
    <x v="0"/>
    <x v="1"/>
    <x v="4"/>
    <s v="Basic"/>
    <n v="0"/>
    <n v="0"/>
    <n v="0"/>
    <x v="0"/>
    <n v="0"/>
    <n v="0"/>
    <n v="0"/>
    <m/>
    <n v="36.1"/>
    <m/>
    <n v="0"/>
  </r>
  <r>
    <s v="USR-100364"/>
    <d v="2025-05-08T00:00:00"/>
    <x v="0"/>
    <x v="3"/>
    <x v="1"/>
    <x v="4"/>
    <s v="Basic"/>
    <n v="1"/>
    <n v="1"/>
    <n v="1"/>
    <x v="0"/>
    <n v="0"/>
    <n v="0"/>
    <n v="0"/>
    <m/>
    <n v="70.400000000000006"/>
    <m/>
    <n v="0"/>
  </r>
  <r>
    <s v="USR-100365"/>
    <d v="2025-01-08T00:00:00"/>
    <x v="0"/>
    <x v="2"/>
    <x v="0"/>
    <x v="4"/>
    <s v="Free"/>
    <n v="1"/>
    <n v="0"/>
    <n v="0"/>
    <x v="0"/>
    <n v="0"/>
    <n v="0"/>
    <n v="0"/>
    <m/>
    <n v="56.4"/>
    <m/>
    <n v="0"/>
  </r>
  <r>
    <s v="USR-100366"/>
    <d v="2025-05-03T00:00:00"/>
    <x v="0"/>
    <x v="3"/>
    <x v="1"/>
    <x v="1"/>
    <s v="Free"/>
    <n v="1"/>
    <n v="0"/>
    <n v="0"/>
    <x v="0"/>
    <n v="0"/>
    <n v="0"/>
    <n v="0"/>
    <m/>
    <n v="79.2"/>
    <m/>
    <n v="0"/>
  </r>
  <r>
    <s v="USR-100367"/>
    <d v="2025-02-12T00:00:00"/>
    <x v="0"/>
    <x v="2"/>
    <x v="1"/>
    <x v="2"/>
    <s v="Free"/>
    <n v="1"/>
    <n v="1"/>
    <n v="1"/>
    <x v="0"/>
    <n v="0"/>
    <n v="0"/>
    <n v="0"/>
    <m/>
    <n v="60.1"/>
    <m/>
    <n v="0"/>
  </r>
  <r>
    <s v="USR-100368"/>
    <d v="2025-02-25T00:00:00"/>
    <x v="0"/>
    <x v="3"/>
    <x v="2"/>
    <x v="1"/>
    <s v="Free"/>
    <n v="0"/>
    <n v="0"/>
    <n v="0"/>
    <x v="0"/>
    <n v="0"/>
    <n v="0"/>
    <n v="0"/>
    <m/>
    <n v="58"/>
    <m/>
    <n v="0"/>
  </r>
  <r>
    <s v="USR-100369"/>
    <d v="2025-04-14T00:00:00"/>
    <x v="0"/>
    <x v="3"/>
    <x v="1"/>
    <x v="3"/>
    <s v="Free"/>
    <n v="1"/>
    <n v="1"/>
    <n v="1"/>
    <x v="0"/>
    <n v="0"/>
    <n v="0"/>
    <n v="0"/>
    <m/>
    <n v="69"/>
    <m/>
    <n v="0"/>
  </r>
  <r>
    <s v="USR-100370"/>
    <d v="2025-01-08T00:00:00"/>
    <x v="0"/>
    <x v="0"/>
    <x v="1"/>
    <x v="3"/>
    <s v="Premium"/>
    <n v="1"/>
    <n v="1"/>
    <n v="1"/>
    <x v="0"/>
    <n v="0"/>
    <n v="1"/>
    <n v="0"/>
    <m/>
    <n v="80.8"/>
    <m/>
    <n v="1"/>
  </r>
  <r>
    <s v="USR-100371"/>
    <d v="2025-03-14T00:00:00"/>
    <x v="0"/>
    <x v="2"/>
    <x v="1"/>
    <x v="0"/>
    <s v="Free"/>
    <n v="0"/>
    <n v="0"/>
    <n v="0"/>
    <x v="0"/>
    <n v="0"/>
    <n v="0"/>
    <n v="0"/>
    <m/>
    <n v="32.799999999999997"/>
    <m/>
    <n v="0"/>
  </r>
  <r>
    <s v="USR-100372"/>
    <d v="2025-04-29T00:00:00"/>
    <x v="0"/>
    <x v="0"/>
    <x v="0"/>
    <x v="2"/>
    <s v="Premium"/>
    <n v="1"/>
    <n v="0"/>
    <n v="0"/>
    <x v="0"/>
    <n v="0"/>
    <n v="0"/>
    <n v="0"/>
    <m/>
    <n v="56"/>
    <m/>
    <n v="0"/>
  </r>
  <r>
    <s v="USR-100373"/>
    <d v="2025-05-01T00:00:00"/>
    <x v="0"/>
    <x v="2"/>
    <x v="0"/>
    <x v="4"/>
    <s v="Free"/>
    <n v="1"/>
    <n v="0"/>
    <n v="0"/>
    <x v="0"/>
    <n v="0"/>
    <n v="0"/>
    <n v="0"/>
    <m/>
    <n v="76.400000000000006"/>
    <m/>
    <n v="0"/>
  </r>
  <r>
    <s v="USR-100374"/>
    <d v="2025-03-19T00:00:00"/>
    <x v="0"/>
    <x v="0"/>
    <x v="1"/>
    <x v="3"/>
    <s v="Free"/>
    <n v="1"/>
    <n v="0"/>
    <n v="0"/>
    <x v="0"/>
    <n v="0"/>
    <n v="0"/>
    <n v="0"/>
    <m/>
    <n v="28.5"/>
    <m/>
    <n v="0"/>
  </r>
  <r>
    <s v="USR-100375"/>
    <d v="2025-05-01T00:00:00"/>
    <x v="0"/>
    <x v="3"/>
    <x v="0"/>
    <x v="4"/>
    <s v="Basic"/>
    <n v="1"/>
    <n v="1"/>
    <n v="1"/>
    <x v="0"/>
    <n v="0"/>
    <n v="0"/>
    <n v="0"/>
    <m/>
    <n v="48.3"/>
    <m/>
    <n v="0"/>
  </r>
  <r>
    <s v="USR-100376"/>
    <d v="2025-03-14T00:00:00"/>
    <x v="0"/>
    <x v="1"/>
    <x v="1"/>
    <x v="1"/>
    <s v="Free"/>
    <n v="1"/>
    <n v="1"/>
    <n v="0"/>
    <x v="0"/>
    <n v="0"/>
    <n v="0"/>
    <n v="0"/>
    <m/>
    <n v="43.4"/>
    <m/>
    <n v="0"/>
  </r>
  <r>
    <s v="USR-100377"/>
    <d v="2025-03-23T00:00:00"/>
    <x v="0"/>
    <x v="0"/>
    <x v="1"/>
    <x v="2"/>
    <s v="Free"/>
    <n v="0"/>
    <n v="0"/>
    <n v="0"/>
    <x v="0"/>
    <n v="0"/>
    <n v="0"/>
    <n v="0"/>
    <m/>
    <n v="43"/>
    <m/>
    <n v="0"/>
  </r>
  <r>
    <s v="USR-100378"/>
    <d v="2025-02-08T00:00:00"/>
    <x v="0"/>
    <x v="2"/>
    <x v="1"/>
    <x v="3"/>
    <s v="Basic"/>
    <n v="1"/>
    <n v="1"/>
    <n v="1"/>
    <x v="0"/>
    <n v="0"/>
    <n v="0"/>
    <n v="0"/>
    <m/>
    <n v="91.8"/>
    <m/>
    <n v="0"/>
  </r>
  <r>
    <s v="USR-100379"/>
    <d v="2025-04-15T00:00:00"/>
    <x v="0"/>
    <x v="1"/>
    <x v="2"/>
    <x v="2"/>
    <s v="Basic"/>
    <n v="1"/>
    <n v="0"/>
    <n v="0"/>
    <x v="0"/>
    <n v="0"/>
    <n v="1"/>
    <n v="0"/>
    <m/>
    <n v="69.3"/>
    <m/>
    <n v="1"/>
  </r>
  <r>
    <s v="USR-100380"/>
    <d v="2025-01-03T00:00:00"/>
    <x v="0"/>
    <x v="3"/>
    <x v="0"/>
    <x v="2"/>
    <s v="Basic"/>
    <n v="1"/>
    <n v="0"/>
    <n v="0"/>
    <x v="0"/>
    <n v="0"/>
    <n v="0"/>
    <n v="0"/>
    <m/>
    <n v="58.9"/>
    <m/>
    <n v="0"/>
  </r>
  <r>
    <s v="USR-100381"/>
    <d v="2025-03-23T00:00:00"/>
    <x v="0"/>
    <x v="1"/>
    <x v="1"/>
    <x v="4"/>
    <s v="Free"/>
    <n v="1"/>
    <n v="1"/>
    <n v="1"/>
    <x v="0"/>
    <n v="0"/>
    <n v="0"/>
    <n v="0"/>
    <m/>
    <n v="76"/>
    <m/>
    <n v="0"/>
  </r>
  <r>
    <s v="USR-100382"/>
    <d v="2025-05-27T00:00:00"/>
    <x v="0"/>
    <x v="3"/>
    <x v="1"/>
    <x v="3"/>
    <s v="Premium"/>
    <n v="1"/>
    <n v="0"/>
    <n v="0"/>
    <x v="0"/>
    <n v="0"/>
    <n v="0"/>
    <n v="0"/>
    <m/>
    <n v="46"/>
    <m/>
    <n v="0"/>
  </r>
  <r>
    <s v="USR-100383"/>
    <d v="2025-04-30T00:00:00"/>
    <x v="0"/>
    <x v="2"/>
    <x v="1"/>
    <x v="1"/>
    <s v="Free"/>
    <n v="1"/>
    <n v="0"/>
    <n v="0"/>
    <x v="0"/>
    <n v="0"/>
    <n v="0"/>
    <n v="0"/>
    <m/>
    <n v="54.1"/>
    <m/>
    <n v="0"/>
  </r>
  <r>
    <s v="USR-100384"/>
    <d v="2025-03-07T00:00:00"/>
    <x v="0"/>
    <x v="1"/>
    <x v="1"/>
    <x v="4"/>
    <s v="Basic"/>
    <n v="1"/>
    <n v="0"/>
    <n v="0"/>
    <x v="0"/>
    <n v="0"/>
    <n v="0"/>
    <n v="0"/>
    <m/>
    <n v="82.4"/>
    <m/>
    <n v="0"/>
  </r>
  <r>
    <s v="USR-100385"/>
    <d v="2025-05-10T00:00:00"/>
    <x v="0"/>
    <x v="3"/>
    <x v="1"/>
    <x v="1"/>
    <s v="Basic"/>
    <n v="1"/>
    <n v="1"/>
    <n v="1"/>
    <x v="0"/>
    <n v="0"/>
    <n v="0"/>
    <n v="0"/>
    <m/>
    <n v="71.900000000000006"/>
    <m/>
    <n v="0"/>
  </r>
  <r>
    <s v="USR-100386"/>
    <d v="2025-05-22T00:00:00"/>
    <x v="0"/>
    <x v="2"/>
    <x v="1"/>
    <x v="1"/>
    <s v="Free"/>
    <n v="0"/>
    <n v="0"/>
    <n v="0"/>
    <x v="0"/>
    <n v="0"/>
    <n v="2"/>
    <n v="0"/>
    <m/>
    <n v="38"/>
    <m/>
    <n v="1"/>
  </r>
  <r>
    <s v="USR-100387"/>
    <d v="2025-02-09T00:00:00"/>
    <x v="0"/>
    <x v="2"/>
    <x v="1"/>
    <x v="2"/>
    <s v="Free"/>
    <n v="1"/>
    <n v="1"/>
    <n v="0"/>
    <x v="0"/>
    <n v="0"/>
    <n v="0"/>
    <n v="0"/>
    <m/>
    <n v="43.7"/>
    <m/>
    <n v="0"/>
  </r>
  <r>
    <s v="USR-100388"/>
    <d v="2025-05-30T00:00:00"/>
    <x v="0"/>
    <x v="1"/>
    <x v="0"/>
    <x v="1"/>
    <s v="Premium"/>
    <n v="1"/>
    <n v="0"/>
    <n v="0"/>
    <x v="0"/>
    <n v="0"/>
    <n v="1"/>
    <n v="0"/>
    <m/>
    <n v="32.200000000000003"/>
    <m/>
    <n v="1"/>
  </r>
  <r>
    <s v="USR-100389"/>
    <d v="2025-05-01T00:00:00"/>
    <x v="0"/>
    <x v="3"/>
    <x v="1"/>
    <x v="1"/>
    <s v="Premium"/>
    <n v="1"/>
    <n v="0"/>
    <n v="0"/>
    <x v="0"/>
    <n v="0"/>
    <n v="0"/>
    <n v="0"/>
    <m/>
    <n v="61"/>
    <m/>
    <n v="0"/>
  </r>
  <r>
    <s v="USR-100390"/>
    <d v="2025-01-03T00:00:00"/>
    <x v="0"/>
    <x v="3"/>
    <x v="1"/>
    <x v="2"/>
    <s v="Free"/>
    <n v="1"/>
    <n v="0"/>
    <n v="0"/>
    <x v="0"/>
    <n v="0"/>
    <n v="0"/>
    <n v="0"/>
    <m/>
    <n v="49"/>
    <m/>
    <n v="0"/>
  </r>
  <r>
    <s v="USR-100391"/>
    <d v="2025-02-13T00:00:00"/>
    <x v="0"/>
    <x v="2"/>
    <x v="1"/>
    <x v="1"/>
    <s v="Free"/>
    <n v="0"/>
    <n v="0"/>
    <n v="0"/>
    <x v="0"/>
    <n v="0"/>
    <n v="0"/>
    <n v="0"/>
    <m/>
    <n v="48.1"/>
    <m/>
    <n v="0"/>
  </r>
  <r>
    <s v="USR-100392"/>
    <d v="2025-01-14T00:00:00"/>
    <x v="0"/>
    <x v="3"/>
    <x v="0"/>
    <x v="1"/>
    <s v="Free"/>
    <n v="0"/>
    <n v="0"/>
    <n v="0"/>
    <x v="0"/>
    <n v="0"/>
    <n v="2"/>
    <n v="0"/>
    <m/>
    <n v="46.3"/>
    <m/>
    <n v="1"/>
  </r>
  <r>
    <s v="USR-100393"/>
    <d v="2025-02-24T00:00:00"/>
    <x v="0"/>
    <x v="0"/>
    <x v="1"/>
    <x v="3"/>
    <s v="Free"/>
    <n v="0"/>
    <n v="0"/>
    <n v="0"/>
    <x v="0"/>
    <n v="0"/>
    <n v="0"/>
    <n v="0"/>
    <m/>
    <n v="64"/>
    <m/>
    <n v="0"/>
  </r>
  <r>
    <s v="USR-100394"/>
    <d v="2025-05-16T00:00:00"/>
    <x v="0"/>
    <x v="1"/>
    <x v="0"/>
    <x v="1"/>
    <s v="Basic"/>
    <n v="1"/>
    <n v="1"/>
    <n v="0"/>
    <x v="0"/>
    <n v="0"/>
    <n v="0"/>
    <n v="0"/>
    <m/>
    <n v="56.2"/>
    <m/>
    <n v="0"/>
  </r>
  <r>
    <s v="USR-100395"/>
    <d v="2025-04-29T00:00:00"/>
    <x v="0"/>
    <x v="0"/>
    <x v="1"/>
    <x v="2"/>
    <s v="Free"/>
    <n v="1"/>
    <n v="1"/>
    <n v="1"/>
    <x v="0"/>
    <n v="0"/>
    <n v="0"/>
    <n v="0"/>
    <m/>
    <n v="77.5"/>
    <m/>
    <n v="0"/>
  </r>
  <r>
    <s v="USR-100396"/>
    <d v="2025-04-30T00:00:00"/>
    <x v="0"/>
    <x v="3"/>
    <x v="0"/>
    <x v="0"/>
    <s v="Basic"/>
    <n v="1"/>
    <n v="0"/>
    <n v="0"/>
    <x v="0"/>
    <n v="0"/>
    <n v="0"/>
    <n v="0"/>
    <m/>
    <n v="59.9"/>
    <m/>
    <n v="0"/>
  </r>
  <r>
    <s v="USR-100397"/>
    <d v="2025-01-09T00:00:00"/>
    <x v="0"/>
    <x v="3"/>
    <x v="0"/>
    <x v="1"/>
    <s v="Free"/>
    <n v="1"/>
    <n v="1"/>
    <n v="0"/>
    <x v="0"/>
    <n v="0"/>
    <n v="0"/>
    <n v="0"/>
    <m/>
    <n v="63"/>
    <m/>
    <n v="0"/>
  </r>
  <r>
    <s v="USR-100398"/>
    <d v="2025-04-25T00:00:00"/>
    <x v="0"/>
    <x v="3"/>
    <x v="1"/>
    <x v="1"/>
    <s v="Free"/>
    <n v="1"/>
    <n v="1"/>
    <n v="0"/>
    <x v="0"/>
    <n v="0"/>
    <n v="0"/>
    <n v="0"/>
    <m/>
    <n v="76.5"/>
    <m/>
    <n v="0"/>
  </r>
  <r>
    <s v="USR-100399"/>
    <d v="2025-03-12T00:00:00"/>
    <x v="0"/>
    <x v="0"/>
    <x v="0"/>
    <x v="2"/>
    <s v="Free"/>
    <n v="1"/>
    <n v="0"/>
    <n v="0"/>
    <x v="0"/>
    <n v="0"/>
    <n v="0"/>
    <n v="0"/>
    <m/>
    <n v="39.700000000000003"/>
    <m/>
    <n v="0"/>
  </r>
  <r>
    <s v="USR-100400"/>
    <d v="2025-03-20T00:00:00"/>
    <x v="0"/>
    <x v="0"/>
    <x v="1"/>
    <x v="1"/>
    <s v="Free"/>
    <n v="1"/>
    <n v="1"/>
    <n v="0"/>
    <x v="0"/>
    <n v="0"/>
    <n v="0"/>
    <n v="0"/>
    <m/>
    <n v="80.2"/>
    <m/>
    <n v="0"/>
  </r>
  <r>
    <s v="USR-100401"/>
    <d v="2025-02-18T00:00:00"/>
    <x v="0"/>
    <x v="1"/>
    <x v="1"/>
    <x v="2"/>
    <s v="Free"/>
    <n v="1"/>
    <n v="0"/>
    <n v="0"/>
    <x v="0"/>
    <n v="0"/>
    <n v="0"/>
    <n v="0"/>
    <m/>
    <n v="72.2"/>
    <m/>
    <n v="0"/>
  </r>
  <r>
    <s v="USR-100402"/>
    <d v="2025-01-22T00:00:00"/>
    <x v="0"/>
    <x v="0"/>
    <x v="1"/>
    <x v="4"/>
    <s v="Basic"/>
    <n v="0"/>
    <n v="0"/>
    <n v="0"/>
    <x v="0"/>
    <n v="0"/>
    <n v="0"/>
    <n v="0"/>
    <m/>
    <n v="56"/>
    <m/>
    <n v="0"/>
  </r>
  <r>
    <s v="USR-100403"/>
    <d v="2025-02-08T00:00:00"/>
    <x v="0"/>
    <x v="1"/>
    <x v="1"/>
    <x v="0"/>
    <s v="Basic"/>
    <n v="1"/>
    <n v="1"/>
    <n v="1"/>
    <x v="0"/>
    <n v="0"/>
    <n v="0"/>
    <n v="0"/>
    <m/>
    <n v="69.099999999999994"/>
    <m/>
    <n v="0"/>
  </r>
  <r>
    <s v="USR-100404"/>
    <d v="2025-01-20T00:00:00"/>
    <x v="0"/>
    <x v="0"/>
    <x v="1"/>
    <x v="0"/>
    <s v="Premium"/>
    <n v="0"/>
    <n v="0"/>
    <n v="0"/>
    <x v="0"/>
    <n v="0"/>
    <n v="1"/>
    <n v="0"/>
    <m/>
    <n v="70.599999999999994"/>
    <m/>
    <n v="1"/>
  </r>
  <r>
    <s v="USR-100405"/>
    <d v="2025-04-22T00:00:00"/>
    <x v="0"/>
    <x v="1"/>
    <x v="0"/>
    <x v="3"/>
    <s v="Free"/>
    <n v="1"/>
    <n v="0"/>
    <n v="0"/>
    <x v="0"/>
    <n v="0"/>
    <n v="0"/>
    <n v="0"/>
    <m/>
    <n v="57.9"/>
    <m/>
    <n v="0"/>
  </r>
  <r>
    <s v="USR-100406"/>
    <d v="2025-01-22T00:00:00"/>
    <x v="0"/>
    <x v="2"/>
    <x v="1"/>
    <x v="1"/>
    <s v="Basic"/>
    <n v="1"/>
    <n v="1"/>
    <n v="0"/>
    <x v="0"/>
    <n v="0"/>
    <n v="0"/>
    <n v="0"/>
    <m/>
    <n v="41.4"/>
    <m/>
    <n v="0"/>
  </r>
  <r>
    <s v="USR-100407"/>
    <d v="2025-05-11T00:00:00"/>
    <x v="0"/>
    <x v="1"/>
    <x v="1"/>
    <x v="1"/>
    <s v="Basic"/>
    <n v="1"/>
    <n v="0"/>
    <n v="0"/>
    <x v="0"/>
    <n v="0"/>
    <n v="0"/>
    <n v="0"/>
    <m/>
    <n v="60.9"/>
    <m/>
    <n v="0"/>
  </r>
  <r>
    <s v="USR-100408"/>
    <d v="2025-02-06T00:00:00"/>
    <x v="0"/>
    <x v="3"/>
    <x v="1"/>
    <x v="1"/>
    <s v="Basic"/>
    <n v="0"/>
    <n v="0"/>
    <n v="0"/>
    <x v="0"/>
    <n v="0"/>
    <n v="1"/>
    <n v="0"/>
    <m/>
    <n v="63.8"/>
    <m/>
    <n v="1"/>
  </r>
  <r>
    <s v="USR-100409"/>
    <d v="2025-02-21T00:00:00"/>
    <x v="0"/>
    <x v="0"/>
    <x v="0"/>
    <x v="1"/>
    <s v="Premium"/>
    <n v="1"/>
    <n v="0"/>
    <n v="0"/>
    <x v="0"/>
    <n v="0"/>
    <n v="0"/>
    <n v="0"/>
    <m/>
    <n v="79.2"/>
    <m/>
    <n v="0"/>
  </r>
  <r>
    <s v="USR-100410"/>
    <d v="2025-01-13T00:00:00"/>
    <x v="0"/>
    <x v="1"/>
    <x v="1"/>
    <x v="0"/>
    <s v="Premium"/>
    <n v="1"/>
    <n v="1"/>
    <n v="1"/>
    <x v="0"/>
    <n v="0"/>
    <n v="0"/>
    <n v="0"/>
    <m/>
    <n v="53.3"/>
    <m/>
    <n v="0"/>
  </r>
  <r>
    <s v="USR-100411"/>
    <d v="2025-03-07T00:00:00"/>
    <x v="0"/>
    <x v="0"/>
    <x v="1"/>
    <x v="3"/>
    <s v="Premium"/>
    <n v="1"/>
    <n v="1"/>
    <n v="1"/>
    <x v="1"/>
    <n v="2144.8200000000002"/>
    <n v="0"/>
    <n v="0"/>
    <n v="6"/>
    <n v="52.3"/>
    <m/>
    <n v="0"/>
  </r>
  <r>
    <s v="USR-100412"/>
    <d v="2025-02-26T00:00:00"/>
    <x v="0"/>
    <x v="1"/>
    <x v="0"/>
    <x v="1"/>
    <s v="Basic"/>
    <n v="1"/>
    <n v="1"/>
    <n v="0"/>
    <x v="0"/>
    <n v="0"/>
    <n v="0"/>
    <n v="0"/>
    <m/>
    <n v="62.4"/>
    <m/>
    <n v="0"/>
  </r>
  <r>
    <s v="USR-100413"/>
    <d v="2025-05-05T00:00:00"/>
    <x v="0"/>
    <x v="0"/>
    <x v="1"/>
    <x v="3"/>
    <s v="Premium"/>
    <n v="1"/>
    <n v="0"/>
    <n v="0"/>
    <x v="0"/>
    <n v="0"/>
    <n v="0"/>
    <n v="0"/>
    <m/>
    <n v="45.5"/>
    <m/>
    <n v="0"/>
  </r>
  <r>
    <s v="USR-100414"/>
    <d v="2025-01-08T00:00:00"/>
    <x v="0"/>
    <x v="2"/>
    <x v="0"/>
    <x v="1"/>
    <s v="Basic"/>
    <n v="0"/>
    <n v="0"/>
    <n v="0"/>
    <x v="0"/>
    <n v="0"/>
    <n v="1"/>
    <n v="0"/>
    <m/>
    <n v="72.599999999999994"/>
    <m/>
    <n v="1"/>
  </r>
  <r>
    <s v="USR-100415"/>
    <d v="2025-03-19T00:00:00"/>
    <x v="0"/>
    <x v="3"/>
    <x v="1"/>
    <x v="0"/>
    <s v="Premium"/>
    <n v="1"/>
    <n v="1"/>
    <n v="1"/>
    <x v="0"/>
    <n v="0"/>
    <n v="0"/>
    <n v="0"/>
    <m/>
    <n v="50.1"/>
    <m/>
    <n v="0"/>
  </r>
  <r>
    <s v="USR-100416"/>
    <d v="2025-01-30T00:00:00"/>
    <x v="0"/>
    <x v="2"/>
    <x v="0"/>
    <x v="2"/>
    <s v="Free"/>
    <n v="1"/>
    <n v="1"/>
    <n v="1"/>
    <x v="0"/>
    <n v="0"/>
    <n v="2"/>
    <n v="0"/>
    <m/>
    <n v="58.1"/>
    <m/>
    <n v="1"/>
  </r>
  <r>
    <s v="USR-100417"/>
    <d v="2025-04-28T00:00:00"/>
    <x v="0"/>
    <x v="2"/>
    <x v="1"/>
    <x v="1"/>
    <s v="Basic"/>
    <n v="1"/>
    <n v="0"/>
    <n v="0"/>
    <x v="0"/>
    <n v="0"/>
    <n v="0"/>
    <n v="0"/>
    <m/>
    <n v="42.9"/>
    <m/>
    <n v="0"/>
  </r>
  <r>
    <s v="USR-100418"/>
    <d v="2025-03-07T00:00:00"/>
    <x v="0"/>
    <x v="0"/>
    <x v="1"/>
    <x v="3"/>
    <s v="Basic"/>
    <n v="0"/>
    <n v="0"/>
    <n v="0"/>
    <x v="0"/>
    <n v="0"/>
    <n v="0"/>
    <n v="0"/>
    <m/>
    <n v="69.7"/>
    <m/>
    <n v="0"/>
  </r>
  <r>
    <s v="USR-100419"/>
    <d v="2025-04-07T00:00:00"/>
    <x v="0"/>
    <x v="0"/>
    <x v="0"/>
    <x v="1"/>
    <s v="Free"/>
    <n v="0"/>
    <n v="0"/>
    <n v="0"/>
    <x v="0"/>
    <n v="0"/>
    <n v="0"/>
    <n v="0"/>
    <m/>
    <n v="63.3"/>
    <m/>
    <n v="0"/>
  </r>
  <r>
    <s v="USR-100420"/>
    <d v="2025-05-08T00:00:00"/>
    <x v="0"/>
    <x v="0"/>
    <x v="0"/>
    <x v="1"/>
    <s v="Premium"/>
    <n v="1"/>
    <n v="0"/>
    <n v="0"/>
    <x v="0"/>
    <n v="0"/>
    <n v="0"/>
    <n v="0"/>
    <m/>
    <n v="71.2"/>
    <m/>
    <n v="0"/>
  </r>
  <r>
    <s v="USR-100421"/>
    <d v="2025-04-15T00:00:00"/>
    <x v="0"/>
    <x v="3"/>
    <x v="1"/>
    <x v="0"/>
    <s v="Free"/>
    <n v="1"/>
    <n v="0"/>
    <n v="0"/>
    <x v="0"/>
    <n v="0"/>
    <n v="0"/>
    <n v="0"/>
    <m/>
    <n v="39.1"/>
    <m/>
    <n v="0"/>
  </r>
  <r>
    <s v="USR-100422"/>
    <d v="2025-04-20T00:00:00"/>
    <x v="0"/>
    <x v="2"/>
    <x v="0"/>
    <x v="4"/>
    <s v="Free"/>
    <n v="1"/>
    <n v="0"/>
    <n v="0"/>
    <x v="0"/>
    <n v="0"/>
    <n v="0"/>
    <n v="0"/>
    <m/>
    <n v="42.6"/>
    <m/>
    <n v="0"/>
  </r>
  <r>
    <s v="USR-100423"/>
    <d v="2025-05-30T00:00:00"/>
    <x v="0"/>
    <x v="3"/>
    <x v="2"/>
    <x v="1"/>
    <s v="Free"/>
    <n v="0"/>
    <n v="0"/>
    <n v="0"/>
    <x v="0"/>
    <n v="0"/>
    <n v="0"/>
    <n v="0"/>
    <m/>
    <n v="74.400000000000006"/>
    <m/>
    <n v="0"/>
  </r>
  <r>
    <s v="USR-100424"/>
    <d v="2025-02-13T00:00:00"/>
    <x v="0"/>
    <x v="1"/>
    <x v="1"/>
    <x v="3"/>
    <s v="Free"/>
    <n v="0"/>
    <n v="0"/>
    <n v="0"/>
    <x v="0"/>
    <n v="0"/>
    <n v="0"/>
    <n v="0"/>
    <m/>
    <n v="55.6"/>
    <m/>
    <n v="0"/>
  </r>
  <r>
    <s v="USR-100425"/>
    <d v="2025-04-28T00:00:00"/>
    <x v="0"/>
    <x v="1"/>
    <x v="1"/>
    <x v="4"/>
    <s v="Free"/>
    <n v="1"/>
    <n v="0"/>
    <n v="0"/>
    <x v="0"/>
    <n v="0"/>
    <n v="0"/>
    <n v="0"/>
    <m/>
    <n v="35.799999999999997"/>
    <m/>
    <n v="0"/>
  </r>
  <r>
    <s v="USR-100426"/>
    <d v="2025-02-12T00:00:00"/>
    <x v="0"/>
    <x v="0"/>
    <x v="1"/>
    <x v="2"/>
    <s v="Basic"/>
    <n v="1"/>
    <n v="0"/>
    <n v="0"/>
    <x v="0"/>
    <n v="0"/>
    <n v="1"/>
    <n v="0"/>
    <m/>
    <n v="28.2"/>
    <m/>
    <n v="1"/>
  </r>
  <r>
    <s v="USR-100427"/>
    <d v="2025-02-12T00:00:00"/>
    <x v="0"/>
    <x v="2"/>
    <x v="1"/>
    <x v="1"/>
    <s v="Free"/>
    <n v="0"/>
    <n v="0"/>
    <n v="0"/>
    <x v="0"/>
    <n v="0"/>
    <n v="2"/>
    <n v="0"/>
    <m/>
    <n v="44.4"/>
    <m/>
    <n v="1"/>
  </r>
  <r>
    <s v="USR-100428"/>
    <d v="2025-03-27T00:00:00"/>
    <x v="0"/>
    <x v="0"/>
    <x v="1"/>
    <x v="0"/>
    <s v="Premium"/>
    <n v="1"/>
    <n v="0"/>
    <n v="0"/>
    <x v="0"/>
    <n v="0"/>
    <n v="0"/>
    <n v="0"/>
    <m/>
    <n v="49.9"/>
    <m/>
    <n v="0"/>
  </r>
  <r>
    <s v="USR-100429"/>
    <d v="2025-04-12T00:00:00"/>
    <x v="0"/>
    <x v="3"/>
    <x v="0"/>
    <x v="1"/>
    <s v="Free"/>
    <n v="0"/>
    <n v="0"/>
    <n v="0"/>
    <x v="0"/>
    <n v="0"/>
    <n v="0"/>
    <n v="0"/>
    <m/>
    <n v="40.4"/>
    <m/>
    <n v="0"/>
  </r>
  <r>
    <s v="USR-100430"/>
    <d v="2025-01-30T00:00:00"/>
    <x v="0"/>
    <x v="1"/>
    <x v="1"/>
    <x v="4"/>
    <s v="Free"/>
    <n v="0"/>
    <n v="0"/>
    <n v="0"/>
    <x v="0"/>
    <n v="0"/>
    <n v="0"/>
    <n v="0"/>
    <m/>
    <n v="60.4"/>
    <m/>
    <n v="0"/>
  </r>
  <r>
    <s v="USR-100431"/>
    <d v="2025-05-28T00:00:00"/>
    <x v="0"/>
    <x v="1"/>
    <x v="1"/>
    <x v="4"/>
    <s v="Premium"/>
    <n v="0"/>
    <n v="0"/>
    <n v="0"/>
    <x v="0"/>
    <n v="0"/>
    <n v="1"/>
    <n v="0"/>
    <m/>
    <n v="52.4"/>
    <m/>
    <n v="1"/>
  </r>
  <r>
    <s v="USR-100432"/>
    <d v="2025-05-01T00:00:00"/>
    <x v="0"/>
    <x v="3"/>
    <x v="1"/>
    <x v="1"/>
    <s v="Basic"/>
    <n v="1"/>
    <n v="1"/>
    <n v="0"/>
    <x v="0"/>
    <n v="0"/>
    <n v="0"/>
    <n v="0"/>
    <m/>
    <n v="48.8"/>
    <m/>
    <n v="0"/>
  </r>
  <r>
    <s v="USR-100433"/>
    <d v="2025-02-03T00:00:00"/>
    <x v="0"/>
    <x v="0"/>
    <x v="2"/>
    <x v="0"/>
    <s v="Basic"/>
    <n v="1"/>
    <n v="0"/>
    <n v="0"/>
    <x v="0"/>
    <n v="0"/>
    <n v="0"/>
    <n v="0"/>
    <m/>
    <n v="60.9"/>
    <m/>
    <n v="0"/>
  </r>
  <r>
    <s v="USR-100434"/>
    <d v="2025-01-10T00:00:00"/>
    <x v="0"/>
    <x v="3"/>
    <x v="0"/>
    <x v="4"/>
    <s v="Basic"/>
    <n v="0"/>
    <n v="0"/>
    <n v="0"/>
    <x v="0"/>
    <n v="0"/>
    <n v="0"/>
    <n v="0"/>
    <m/>
    <n v="68.2"/>
    <m/>
    <n v="0"/>
  </r>
  <r>
    <s v="USR-100435"/>
    <d v="2025-05-02T00:00:00"/>
    <x v="0"/>
    <x v="0"/>
    <x v="0"/>
    <x v="1"/>
    <s v="Basic"/>
    <n v="1"/>
    <n v="0"/>
    <n v="0"/>
    <x v="0"/>
    <n v="0"/>
    <n v="0"/>
    <n v="0"/>
    <m/>
    <n v="65.599999999999994"/>
    <m/>
    <n v="0"/>
  </r>
  <r>
    <s v="USR-100436"/>
    <d v="2025-05-26T00:00:00"/>
    <x v="0"/>
    <x v="0"/>
    <x v="0"/>
    <x v="1"/>
    <s v="Basic"/>
    <n v="1"/>
    <n v="0"/>
    <n v="0"/>
    <x v="0"/>
    <n v="0"/>
    <n v="0"/>
    <n v="0"/>
    <m/>
    <n v="65.400000000000006"/>
    <m/>
    <n v="0"/>
  </r>
  <r>
    <s v="USR-100437"/>
    <d v="2025-01-12T00:00:00"/>
    <x v="0"/>
    <x v="1"/>
    <x v="1"/>
    <x v="1"/>
    <s v="Basic"/>
    <n v="1"/>
    <n v="0"/>
    <n v="0"/>
    <x v="0"/>
    <n v="0"/>
    <n v="0"/>
    <n v="0"/>
    <m/>
    <n v="78.900000000000006"/>
    <m/>
    <n v="0"/>
  </r>
  <r>
    <s v="USR-100438"/>
    <d v="2025-05-27T00:00:00"/>
    <x v="0"/>
    <x v="2"/>
    <x v="1"/>
    <x v="2"/>
    <s v="Basic"/>
    <n v="1"/>
    <n v="1"/>
    <n v="1"/>
    <x v="0"/>
    <n v="0"/>
    <n v="0"/>
    <n v="0"/>
    <m/>
    <n v="78.3"/>
    <m/>
    <n v="0"/>
  </r>
  <r>
    <s v="USR-100439"/>
    <d v="2025-05-22T00:00:00"/>
    <x v="0"/>
    <x v="1"/>
    <x v="0"/>
    <x v="0"/>
    <s v="Basic"/>
    <n v="0"/>
    <n v="0"/>
    <n v="0"/>
    <x v="0"/>
    <n v="0"/>
    <n v="0"/>
    <n v="0"/>
    <m/>
    <n v="49.2"/>
    <m/>
    <n v="0"/>
  </r>
  <r>
    <s v="USR-100440"/>
    <d v="2025-04-01T00:00:00"/>
    <x v="0"/>
    <x v="2"/>
    <x v="1"/>
    <x v="4"/>
    <s v="Premium"/>
    <n v="1"/>
    <n v="1"/>
    <n v="1"/>
    <x v="1"/>
    <n v="1518.83"/>
    <n v="0"/>
    <n v="0"/>
    <n v="9"/>
    <n v="32.200000000000003"/>
    <m/>
    <n v="0"/>
  </r>
  <r>
    <s v="USR-100441"/>
    <d v="2025-01-22T00:00:00"/>
    <x v="0"/>
    <x v="0"/>
    <x v="1"/>
    <x v="2"/>
    <s v="Basic"/>
    <n v="1"/>
    <n v="1"/>
    <n v="1"/>
    <x v="0"/>
    <n v="0"/>
    <n v="0"/>
    <n v="0"/>
    <m/>
    <n v="46.3"/>
    <m/>
    <n v="0"/>
  </r>
  <r>
    <s v="USR-100442"/>
    <d v="2025-05-24T00:00:00"/>
    <x v="0"/>
    <x v="2"/>
    <x v="1"/>
    <x v="2"/>
    <s v="Basic"/>
    <n v="1"/>
    <n v="0"/>
    <n v="0"/>
    <x v="0"/>
    <n v="0"/>
    <n v="0"/>
    <n v="0"/>
    <m/>
    <n v="55.7"/>
    <m/>
    <n v="0"/>
  </r>
  <r>
    <s v="USR-100443"/>
    <d v="2025-04-25T00:00:00"/>
    <x v="0"/>
    <x v="3"/>
    <x v="1"/>
    <x v="4"/>
    <s v="Free"/>
    <n v="1"/>
    <n v="0"/>
    <n v="0"/>
    <x v="0"/>
    <n v="0"/>
    <n v="0"/>
    <n v="0"/>
    <m/>
    <n v="44.5"/>
    <m/>
    <n v="0"/>
  </r>
  <r>
    <s v="USR-100444"/>
    <d v="2025-04-12T00:00:00"/>
    <x v="0"/>
    <x v="1"/>
    <x v="0"/>
    <x v="3"/>
    <s v="Free"/>
    <n v="1"/>
    <n v="1"/>
    <n v="1"/>
    <x v="0"/>
    <n v="0"/>
    <n v="1"/>
    <n v="0"/>
    <m/>
    <n v="47.9"/>
    <m/>
    <n v="1"/>
  </r>
  <r>
    <s v="USR-100445"/>
    <d v="2025-04-23T00:00:00"/>
    <x v="0"/>
    <x v="3"/>
    <x v="1"/>
    <x v="1"/>
    <s v="Premium"/>
    <n v="1"/>
    <n v="0"/>
    <n v="0"/>
    <x v="0"/>
    <n v="0"/>
    <n v="0"/>
    <n v="0"/>
    <m/>
    <n v="43.9"/>
    <m/>
    <n v="0"/>
  </r>
  <r>
    <s v="USR-100446"/>
    <d v="2025-03-30T00:00:00"/>
    <x v="0"/>
    <x v="0"/>
    <x v="0"/>
    <x v="3"/>
    <s v="Free"/>
    <n v="1"/>
    <n v="1"/>
    <n v="1"/>
    <x v="0"/>
    <n v="0"/>
    <n v="1"/>
    <n v="0"/>
    <m/>
    <n v="67.7"/>
    <m/>
    <n v="1"/>
  </r>
  <r>
    <s v="USR-100447"/>
    <d v="2025-01-18T00:00:00"/>
    <x v="0"/>
    <x v="2"/>
    <x v="1"/>
    <x v="3"/>
    <s v="Basic"/>
    <n v="0"/>
    <n v="0"/>
    <n v="0"/>
    <x v="0"/>
    <n v="0"/>
    <n v="0"/>
    <n v="0"/>
    <m/>
    <n v="43.7"/>
    <m/>
    <n v="0"/>
  </r>
  <r>
    <s v="USR-100448"/>
    <d v="2025-04-09T00:00:00"/>
    <x v="0"/>
    <x v="2"/>
    <x v="1"/>
    <x v="1"/>
    <s v="Free"/>
    <n v="1"/>
    <n v="0"/>
    <n v="0"/>
    <x v="0"/>
    <n v="0"/>
    <n v="0"/>
    <n v="0"/>
    <m/>
    <n v="68.8"/>
    <m/>
    <n v="0"/>
  </r>
  <r>
    <s v="USR-100449"/>
    <d v="2025-01-11T00:00:00"/>
    <x v="0"/>
    <x v="1"/>
    <x v="1"/>
    <x v="1"/>
    <s v="Free"/>
    <n v="1"/>
    <n v="1"/>
    <n v="1"/>
    <x v="0"/>
    <n v="0"/>
    <n v="0"/>
    <n v="0"/>
    <m/>
    <n v="59.2"/>
    <m/>
    <n v="0"/>
  </r>
  <r>
    <s v="USR-100450"/>
    <d v="2025-03-05T00:00:00"/>
    <x v="0"/>
    <x v="2"/>
    <x v="1"/>
    <x v="2"/>
    <s v="Free"/>
    <n v="1"/>
    <n v="0"/>
    <n v="0"/>
    <x v="0"/>
    <n v="0"/>
    <n v="0"/>
    <n v="0"/>
    <m/>
    <n v="48.6"/>
    <m/>
    <n v="0"/>
  </r>
  <r>
    <s v="USR-100451"/>
    <d v="2025-02-17T00:00:00"/>
    <x v="0"/>
    <x v="0"/>
    <x v="2"/>
    <x v="4"/>
    <s v="Free"/>
    <n v="1"/>
    <n v="1"/>
    <n v="1"/>
    <x v="0"/>
    <n v="0"/>
    <n v="0"/>
    <n v="0"/>
    <m/>
    <n v="56.9"/>
    <m/>
    <n v="0"/>
  </r>
  <r>
    <s v="USR-100452"/>
    <d v="2025-05-07T00:00:00"/>
    <x v="0"/>
    <x v="0"/>
    <x v="0"/>
    <x v="2"/>
    <s v="Free"/>
    <n v="0"/>
    <n v="0"/>
    <n v="0"/>
    <x v="0"/>
    <n v="0"/>
    <n v="0"/>
    <n v="0"/>
    <m/>
    <n v="55.8"/>
    <m/>
    <n v="0"/>
  </r>
  <r>
    <s v="USR-100453"/>
    <d v="2025-04-10T00:00:00"/>
    <x v="0"/>
    <x v="2"/>
    <x v="1"/>
    <x v="2"/>
    <s v="Premium"/>
    <n v="0"/>
    <n v="0"/>
    <n v="0"/>
    <x v="0"/>
    <n v="0"/>
    <n v="0"/>
    <n v="0"/>
    <m/>
    <n v="63.3"/>
    <m/>
    <n v="0"/>
  </r>
  <r>
    <s v="USR-100454"/>
    <d v="2025-04-21T00:00:00"/>
    <x v="0"/>
    <x v="0"/>
    <x v="1"/>
    <x v="4"/>
    <s v="Free"/>
    <n v="1"/>
    <n v="0"/>
    <n v="0"/>
    <x v="0"/>
    <n v="0"/>
    <n v="0"/>
    <n v="0"/>
    <m/>
    <n v="52.2"/>
    <m/>
    <n v="0"/>
  </r>
  <r>
    <s v="USR-100455"/>
    <d v="2025-02-25T00:00:00"/>
    <x v="0"/>
    <x v="3"/>
    <x v="2"/>
    <x v="5"/>
    <s v="Free"/>
    <n v="0"/>
    <n v="0"/>
    <n v="0"/>
    <x v="0"/>
    <n v="0"/>
    <n v="0"/>
    <n v="0"/>
    <m/>
    <n v="51.5"/>
    <m/>
    <n v="0"/>
  </r>
  <r>
    <s v="USR-100456"/>
    <d v="2025-05-14T00:00:00"/>
    <x v="0"/>
    <x v="2"/>
    <x v="0"/>
    <x v="1"/>
    <s v="Free"/>
    <n v="0"/>
    <n v="0"/>
    <n v="0"/>
    <x v="0"/>
    <n v="0"/>
    <n v="0"/>
    <n v="0"/>
    <m/>
    <n v="50.3"/>
    <m/>
    <n v="0"/>
  </r>
  <r>
    <s v="USR-100457"/>
    <d v="2025-03-10T00:00:00"/>
    <x v="0"/>
    <x v="0"/>
    <x v="1"/>
    <x v="0"/>
    <s v="Basic"/>
    <n v="1"/>
    <n v="0"/>
    <n v="0"/>
    <x v="0"/>
    <n v="0"/>
    <n v="1"/>
    <n v="0"/>
    <m/>
    <n v="35.4"/>
    <m/>
    <n v="1"/>
  </r>
  <r>
    <s v="USR-100458"/>
    <d v="2025-01-31T00:00:00"/>
    <x v="0"/>
    <x v="1"/>
    <x v="0"/>
    <x v="1"/>
    <s v="Premium"/>
    <n v="1"/>
    <n v="0"/>
    <n v="0"/>
    <x v="0"/>
    <n v="0"/>
    <n v="1"/>
    <n v="0"/>
    <m/>
    <n v="54.1"/>
    <m/>
    <n v="1"/>
  </r>
  <r>
    <s v="USR-100459"/>
    <d v="2025-01-17T00:00:00"/>
    <x v="0"/>
    <x v="3"/>
    <x v="1"/>
    <x v="1"/>
    <s v="Premium"/>
    <n v="1"/>
    <n v="0"/>
    <n v="0"/>
    <x v="0"/>
    <n v="0"/>
    <n v="0"/>
    <n v="0"/>
    <m/>
    <n v="56.2"/>
    <m/>
    <n v="0"/>
  </r>
  <r>
    <s v="USR-100460"/>
    <d v="2025-03-12T00:00:00"/>
    <x v="0"/>
    <x v="3"/>
    <x v="1"/>
    <x v="2"/>
    <s v="Free"/>
    <n v="0"/>
    <n v="0"/>
    <n v="0"/>
    <x v="0"/>
    <n v="0"/>
    <n v="3"/>
    <n v="0"/>
    <m/>
    <n v="43.7"/>
    <m/>
    <n v="1"/>
  </r>
  <r>
    <s v="USR-100461"/>
    <d v="2025-02-28T00:00:00"/>
    <x v="0"/>
    <x v="1"/>
    <x v="0"/>
    <x v="1"/>
    <s v="Premium"/>
    <n v="1"/>
    <n v="1"/>
    <n v="0"/>
    <x v="0"/>
    <n v="0"/>
    <n v="0"/>
    <n v="0"/>
    <m/>
    <n v="51.3"/>
    <m/>
    <n v="0"/>
  </r>
  <r>
    <s v="USR-100462"/>
    <d v="2025-05-19T00:00:00"/>
    <x v="0"/>
    <x v="0"/>
    <x v="3"/>
    <x v="1"/>
    <s v="Basic"/>
    <n v="1"/>
    <n v="0"/>
    <n v="0"/>
    <x v="0"/>
    <n v="0"/>
    <n v="0"/>
    <n v="0"/>
    <m/>
    <n v="50.5"/>
    <m/>
    <n v="0"/>
  </r>
  <r>
    <s v="USR-100463"/>
    <d v="2025-02-23T00:00:00"/>
    <x v="0"/>
    <x v="0"/>
    <x v="1"/>
    <x v="3"/>
    <s v="Basic"/>
    <n v="1"/>
    <n v="0"/>
    <n v="0"/>
    <x v="0"/>
    <n v="0"/>
    <n v="0"/>
    <n v="0"/>
    <m/>
    <n v="57.3"/>
    <m/>
    <n v="0"/>
  </r>
  <r>
    <s v="USR-100464"/>
    <d v="2025-02-20T00:00:00"/>
    <x v="0"/>
    <x v="1"/>
    <x v="0"/>
    <x v="1"/>
    <s v="Free"/>
    <n v="1"/>
    <n v="1"/>
    <n v="1"/>
    <x v="0"/>
    <n v="0"/>
    <n v="0"/>
    <n v="0"/>
    <m/>
    <n v="58.4"/>
    <m/>
    <n v="0"/>
  </r>
  <r>
    <s v="USR-100465"/>
    <d v="2025-04-12T00:00:00"/>
    <x v="0"/>
    <x v="0"/>
    <x v="1"/>
    <x v="5"/>
    <s v="Free"/>
    <n v="0"/>
    <n v="0"/>
    <n v="0"/>
    <x v="0"/>
    <n v="0"/>
    <n v="0"/>
    <n v="0"/>
    <m/>
    <n v="56.5"/>
    <m/>
    <n v="0"/>
  </r>
  <r>
    <s v="USR-100466"/>
    <d v="2025-01-08T00:00:00"/>
    <x v="0"/>
    <x v="1"/>
    <x v="1"/>
    <x v="0"/>
    <s v="Free"/>
    <n v="0"/>
    <n v="0"/>
    <n v="0"/>
    <x v="0"/>
    <n v="0"/>
    <n v="0"/>
    <n v="0"/>
    <m/>
    <n v="69.599999999999994"/>
    <m/>
    <n v="0"/>
  </r>
  <r>
    <s v="USR-100467"/>
    <d v="2025-02-13T00:00:00"/>
    <x v="0"/>
    <x v="1"/>
    <x v="1"/>
    <x v="1"/>
    <s v="Basic"/>
    <n v="0"/>
    <n v="0"/>
    <n v="0"/>
    <x v="0"/>
    <n v="0"/>
    <n v="0"/>
    <n v="0"/>
    <m/>
    <n v="6.2"/>
    <m/>
    <n v="0"/>
  </r>
  <r>
    <s v="USR-100468"/>
    <d v="2025-05-21T00:00:00"/>
    <x v="0"/>
    <x v="2"/>
    <x v="0"/>
    <x v="0"/>
    <s v="Free"/>
    <n v="1"/>
    <n v="1"/>
    <n v="1"/>
    <x v="0"/>
    <n v="0"/>
    <n v="0"/>
    <n v="0"/>
    <m/>
    <n v="54.3"/>
    <m/>
    <n v="0"/>
  </r>
  <r>
    <s v="USR-100469"/>
    <d v="2025-05-30T00:00:00"/>
    <x v="0"/>
    <x v="0"/>
    <x v="1"/>
    <x v="1"/>
    <s v="Basic"/>
    <n v="0"/>
    <n v="0"/>
    <n v="0"/>
    <x v="0"/>
    <n v="0"/>
    <n v="0"/>
    <n v="0"/>
    <m/>
    <n v="59.8"/>
    <m/>
    <n v="0"/>
  </r>
  <r>
    <s v="USR-100470"/>
    <d v="2025-05-20T00:00:00"/>
    <x v="0"/>
    <x v="1"/>
    <x v="1"/>
    <x v="2"/>
    <s v="Free"/>
    <n v="0"/>
    <n v="0"/>
    <n v="0"/>
    <x v="0"/>
    <n v="0"/>
    <n v="0"/>
    <n v="0"/>
    <m/>
    <n v="58.9"/>
    <m/>
    <n v="0"/>
  </r>
  <r>
    <s v="USR-100471"/>
    <d v="2025-01-09T00:00:00"/>
    <x v="0"/>
    <x v="2"/>
    <x v="0"/>
    <x v="1"/>
    <s v="Free"/>
    <n v="0"/>
    <n v="0"/>
    <n v="0"/>
    <x v="0"/>
    <n v="0"/>
    <n v="1"/>
    <n v="0"/>
    <m/>
    <n v="52.9"/>
    <m/>
    <n v="1"/>
  </r>
  <r>
    <s v="USR-100472"/>
    <d v="2025-03-07T00:00:00"/>
    <x v="0"/>
    <x v="1"/>
    <x v="1"/>
    <x v="1"/>
    <s v="Free"/>
    <n v="0"/>
    <n v="0"/>
    <n v="0"/>
    <x v="0"/>
    <n v="0"/>
    <n v="0"/>
    <n v="0"/>
    <m/>
    <n v="67.8"/>
    <m/>
    <n v="0"/>
  </r>
  <r>
    <s v="USR-100473"/>
    <d v="2025-04-23T00:00:00"/>
    <x v="0"/>
    <x v="3"/>
    <x v="1"/>
    <x v="4"/>
    <s v="Free"/>
    <n v="0"/>
    <n v="0"/>
    <n v="0"/>
    <x v="0"/>
    <n v="0"/>
    <n v="0"/>
    <n v="0"/>
    <m/>
    <n v="48.7"/>
    <m/>
    <n v="0"/>
  </r>
  <r>
    <s v="USR-100474"/>
    <d v="2025-03-08T00:00:00"/>
    <x v="0"/>
    <x v="2"/>
    <x v="1"/>
    <x v="1"/>
    <s v="Basic"/>
    <n v="0"/>
    <n v="0"/>
    <n v="0"/>
    <x v="0"/>
    <n v="0"/>
    <n v="0"/>
    <n v="0"/>
    <m/>
    <n v="59"/>
    <m/>
    <n v="0"/>
  </r>
  <r>
    <s v="USR-100475"/>
    <d v="2025-02-14T00:00:00"/>
    <x v="0"/>
    <x v="3"/>
    <x v="1"/>
    <x v="3"/>
    <s v="Free"/>
    <n v="0"/>
    <n v="0"/>
    <n v="0"/>
    <x v="0"/>
    <n v="0"/>
    <n v="0"/>
    <n v="0"/>
    <m/>
    <n v="63.2"/>
    <m/>
    <n v="0"/>
  </r>
  <r>
    <s v="USR-100476"/>
    <d v="2025-05-17T00:00:00"/>
    <x v="0"/>
    <x v="1"/>
    <x v="1"/>
    <x v="3"/>
    <s v="Basic"/>
    <n v="1"/>
    <n v="0"/>
    <n v="0"/>
    <x v="0"/>
    <n v="0"/>
    <n v="0"/>
    <n v="0"/>
    <m/>
    <n v="68.7"/>
    <m/>
    <n v="0"/>
  </r>
  <r>
    <s v="USR-100477"/>
    <d v="2025-04-25T00:00:00"/>
    <x v="0"/>
    <x v="3"/>
    <x v="1"/>
    <x v="3"/>
    <s v="Free"/>
    <n v="0"/>
    <n v="0"/>
    <n v="0"/>
    <x v="0"/>
    <n v="0"/>
    <n v="0"/>
    <n v="0"/>
    <m/>
    <n v="52.1"/>
    <m/>
    <n v="0"/>
  </r>
  <r>
    <s v="USR-100478"/>
    <d v="2025-03-04T00:00:00"/>
    <x v="0"/>
    <x v="3"/>
    <x v="0"/>
    <x v="4"/>
    <s v="Basic"/>
    <n v="0"/>
    <n v="0"/>
    <n v="0"/>
    <x v="0"/>
    <n v="0"/>
    <n v="0"/>
    <n v="0"/>
    <m/>
    <n v="56.5"/>
    <m/>
    <n v="0"/>
  </r>
  <r>
    <s v="USR-100479"/>
    <d v="2025-03-18T00:00:00"/>
    <x v="0"/>
    <x v="3"/>
    <x v="1"/>
    <x v="1"/>
    <s v="Free"/>
    <n v="1"/>
    <n v="0"/>
    <n v="0"/>
    <x v="0"/>
    <n v="0"/>
    <n v="0"/>
    <n v="0"/>
    <m/>
    <n v="64.400000000000006"/>
    <m/>
    <n v="0"/>
  </r>
  <r>
    <s v="USR-100480"/>
    <d v="2025-01-30T00:00:00"/>
    <x v="0"/>
    <x v="1"/>
    <x v="1"/>
    <x v="2"/>
    <s v="Premium"/>
    <n v="1"/>
    <n v="0"/>
    <n v="0"/>
    <x v="0"/>
    <n v="0"/>
    <n v="0"/>
    <n v="0"/>
    <m/>
    <n v="65.900000000000006"/>
    <m/>
    <n v="0"/>
  </r>
  <r>
    <s v="USR-100481"/>
    <d v="2025-05-20T00:00:00"/>
    <x v="0"/>
    <x v="1"/>
    <x v="2"/>
    <x v="3"/>
    <s v="Free"/>
    <n v="1"/>
    <n v="1"/>
    <n v="1"/>
    <x v="0"/>
    <n v="0"/>
    <n v="0"/>
    <n v="0"/>
    <m/>
    <n v="100"/>
    <m/>
    <n v="0"/>
  </r>
  <r>
    <s v="USR-100482"/>
    <d v="2025-02-13T00:00:00"/>
    <x v="0"/>
    <x v="0"/>
    <x v="3"/>
    <x v="1"/>
    <s v="Basic"/>
    <n v="1"/>
    <n v="1"/>
    <n v="1"/>
    <x v="0"/>
    <n v="0"/>
    <n v="0"/>
    <n v="0"/>
    <m/>
    <n v="50.4"/>
    <m/>
    <n v="0"/>
  </r>
  <r>
    <s v="USR-100483"/>
    <d v="2025-04-12T00:00:00"/>
    <x v="0"/>
    <x v="1"/>
    <x v="0"/>
    <x v="1"/>
    <s v="Basic"/>
    <n v="0"/>
    <n v="0"/>
    <n v="0"/>
    <x v="0"/>
    <n v="0"/>
    <n v="0"/>
    <n v="0"/>
    <m/>
    <n v="41.5"/>
    <m/>
    <n v="0"/>
  </r>
  <r>
    <s v="USR-100484"/>
    <d v="2025-04-07T00:00:00"/>
    <x v="0"/>
    <x v="0"/>
    <x v="1"/>
    <x v="0"/>
    <s v="Free"/>
    <n v="0"/>
    <n v="0"/>
    <n v="0"/>
    <x v="0"/>
    <n v="0"/>
    <n v="0"/>
    <n v="0"/>
    <m/>
    <n v="86.2"/>
    <m/>
    <n v="0"/>
  </r>
  <r>
    <s v="USR-100485"/>
    <d v="2025-03-12T00:00:00"/>
    <x v="0"/>
    <x v="0"/>
    <x v="0"/>
    <x v="4"/>
    <s v="Free"/>
    <n v="1"/>
    <n v="1"/>
    <n v="1"/>
    <x v="0"/>
    <n v="0"/>
    <n v="2"/>
    <n v="0"/>
    <m/>
    <n v="50.8"/>
    <m/>
    <n v="1"/>
  </r>
  <r>
    <s v="USR-100486"/>
    <d v="2025-02-07T00:00:00"/>
    <x v="0"/>
    <x v="1"/>
    <x v="1"/>
    <x v="1"/>
    <s v="Free"/>
    <n v="1"/>
    <n v="0"/>
    <n v="0"/>
    <x v="0"/>
    <n v="0"/>
    <n v="0"/>
    <n v="0"/>
    <m/>
    <n v="50.9"/>
    <m/>
    <n v="0"/>
  </r>
  <r>
    <s v="USR-100487"/>
    <d v="2025-05-05T00:00:00"/>
    <x v="0"/>
    <x v="0"/>
    <x v="1"/>
    <x v="1"/>
    <s v="Premium"/>
    <n v="1"/>
    <n v="1"/>
    <n v="0"/>
    <x v="0"/>
    <n v="0"/>
    <n v="0"/>
    <n v="0"/>
    <m/>
    <n v="87.5"/>
    <m/>
    <n v="0"/>
  </r>
  <r>
    <s v="USR-100488"/>
    <d v="2025-03-18T00:00:00"/>
    <x v="0"/>
    <x v="3"/>
    <x v="1"/>
    <x v="3"/>
    <s v="Free"/>
    <n v="0"/>
    <n v="0"/>
    <n v="0"/>
    <x v="0"/>
    <n v="0"/>
    <n v="0"/>
    <n v="0"/>
    <m/>
    <n v="43.6"/>
    <m/>
    <n v="0"/>
  </r>
  <r>
    <s v="USR-100489"/>
    <d v="2025-01-05T00:00:00"/>
    <x v="0"/>
    <x v="3"/>
    <x v="1"/>
    <x v="2"/>
    <s v="Basic"/>
    <n v="1"/>
    <n v="0"/>
    <n v="0"/>
    <x v="0"/>
    <n v="0"/>
    <n v="0"/>
    <n v="0"/>
    <m/>
    <n v="55.5"/>
    <m/>
    <n v="0"/>
  </r>
  <r>
    <s v="USR-100490"/>
    <d v="2025-05-10T00:00:00"/>
    <x v="0"/>
    <x v="3"/>
    <x v="0"/>
    <x v="3"/>
    <s v="Basic"/>
    <n v="0"/>
    <n v="0"/>
    <n v="0"/>
    <x v="0"/>
    <n v="0"/>
    <n v="0"/>
    <n v="0"/>
    <m/>
    <n v="78.599999999999994"/>
    <m/>
    <n v="0"/>
  </r>
  <r>
    <s v="USR-100491"/>
    <d v="2025-01-03T00:00:00"/>
    <x v="0"/>
    <x v="3"/>
    <x v="1"/>
    <x v="4"/>
    <s v="Basic"/>
    <n v="1"/>
    <n v="1"/>
    <n v="0"/>
    <x v="0"/>
    <n v="0"/>
    <n v="1"/>
    <n v="0"/>
    <m/>
    <n v="44.3"/>
    <m/>
    <n v="1"/>
  </r>
  <r>
    <s v="USR-100492"/>
    <d v="2025-05-08T00:00:00"/>
    <x v="0"/>
    <x v="3"/>
    <x v="1"/>
    <x v="2"/>
    <s v="Free"/>
    <n v="1"/>
    <n v="1"/>
    <n v="0"/>
    <x v="0"/>
    <n v="0"/>
    <n v="0"/>
    <n v="0"/>
    <m/>
    <n v="45.2"/>
    <m/>
    <n v="0"/>
  </r>
  <r>
    <s v="USR-100493"/>
    <d v="2025-03-05T00:00:00"/>
    <x v="0"/>
    <x v="3"/>
    <x v="0"/>
    <x v="0"/>
    <s v="Basic"/>
    <n v="1"/>
    <n v="0"/>
    <n v="0"/>
    <x v="0"/>
    <n v="0"/>
    <n v="2"/>
    <n v="0"/>
    <m/>
    <n v="46.1"/>
    <m/>
    <n v="1"/>
  </r>
  <r>
    <s v="USR-100494"/>
    <d v="2025-02-17T00:00:00"/>
    <x v="0"/>
    <x v="0"/>
    <x v="1"/>
    <x v="1"/>
    <s v="Premium"/>
    <n v="1"/>
    <n v="0"/>
    <n v="0"/>
    <x v="0"/>
    <n v="0"/>
    <n v="0"/>
    <n v="0"/>
    <m/>
    <n v="49.6"/>
    <m/>
    <n v="0"/>
  </r>
  <r>
    <s v="USR-100495"/>
    <d v="2025-01-09T00:00:00"/>
    <x v="0"/>
    <x v="3"/>
    <x v="1"/>
    <x v="3"/>
    <s v="Basic"/>
    <n v="0"/>
    <n v="0"/>
    <n v="0"/>
    <x v="0"/>
    <n v="0"/>
    <n v="0"/>
    <n v="0"/>
    <m/>
    <n v="70.5"/>
    <m/>
    <n v="0"/>
  </r>
  <r>
    <s v="USR-100496"/>
    <d v="2025-05-05T00:00:00"/>
    <x v="0"/>
    <x v="3"/>
    <x v="1"/>
    <x v="0"/>
    <s v="Basic"/>
    <n v="0"/>
    <n v="0"/>
    <n v="0"/>
    <x v="0"/>
    <n v="0"/>
    <n v="1"/>
    <n v="0"/>
    <m/>
    <n v="60.8"/>
    <m/>
    <n v="1"/>
  </r>
  <r>
    <s v="USR-100497"/>
    <d v="2025-04-16T00:00:00"/>
    <x v="0"/>
    <x v="2"/>
    <x v="1"/>
    <x v="0"/>
    <s v="Basic"/>
    <n v="0"/>
    <n v="0"/>
    <n v="0"/>
    <x v="0"/>
    <n v="0"/>
    <n v="1"/>
    <n v="0"/>
    <m/>
    <n v="50.5"/>
    <m/>
    <n v="1"/>
  </r>
  <r>
    <s v="USR-100498"/>
    <d v="2025-03-02T00:00:00"/>
    <x v="0"/>
    <x v="3"/>
    <x v="0"/>
    <x v="1"/>
    <s v="Free"/>
    <n v="1"/>
    <n v="0"/>
    <n v="0"/>
    <x v="0"/>
    <n v="0"/>
    <n v="0"/>
    <n v="0"/>
    <m/>
    <n v="54.9"/>
    <m/>
    <n v="0"/>
  </r>
  <r>
    <s v="USR-100499"/>
    <d v="2025-04-14T00:00:00"/>
    <x v="0"/>
    <x v="3"/>
    <x v="1"/>
    <x v="4"/>
    <s v="Premium"/>
    <n v="0"/>
    <n v="0"/>
    <n v="0"/>
    <x v="0"/>
    <n v="0"/>
    <n v="0"/>
    <n v="0"/>
    <m/>
    <n v="29.9"/>
    <m/>
    <n v="0"/>
  </r>
  <r>
    <s v="USR-100500"/>
    <d v="2025-02-15T00:00:00"/>
    <x v="0"/>
    <x v="2"/>
    <x v="0"/>
    <x v="2"/>
    <s v="Basic"/>
    <n v="0"/>
    <n v="0"/>
    <n v="0"/>
    <x v="0"/>
    <n v="0"/>
    <n v="0"/>
    <n v="0"/>
    <m/>
    <n v="48.3"/>
    <m/>
    <n v="0"/>
  </r>
  <r>
    <s v="USR-100501"/>
    <d v="2025-02-13T00:00:00"/>
    <x v="0"/>
    <x v="1"/>
    <x v="1"/>
    <x v="4"/>
    <s v="Free"/>
    <n v="1"/>
    <n v="1"/>
    <n v="1"/>
    <x v="1"/>
    <n v="513.61"/>
    <n v="0"/>
    <n v="0"/>
    <n v="7"/>
    <n v="41.3"/>
    <m/>
    <n v="0"/>
  </r>
  <r>
    <s v="USR-100502"/>
    <d v="2025-03-06T00:00:00"/>
    <x v="0"/>
    <x v="0"/>
    <x v="1"/>
    <x v="0"/>
    <s v="Free"/>
    <n v="0"/>
    <n v="0"/>
    <n v="0"/>
    <x v="0"/>
    <n v="0"/>
    <n v="0"/>
    <n v="0"/>
    <m/>
    <n v="61.4"/>
    <m/>
    <n v="0"/>
  </r>
  <r>
    <s v="USR-100503"/>
    <d v="2025-02-18T00:00:00"/>
    <x v="0"/>
    <x v="3"/>
    <x v="0"/>
    <x v="4"/>
    <s v="Free"/>
    <n v="0"/>
    <n v="0"/>
    <n v="0"/>
    <x v="0"/>
    <n v="0"/>
    <n v="0"/>
    <n v="0"/>
    <m/>
    <n v="57.8"/>
    <m/>
    <n v="0"/>
  </r>
  <r>
    <s v="USR-100504"/>
    <d v="2025-04-07T00:00:00"/>
    <x v="0"/>
    <x v="0"/>
    <x v="0"/>
    <x v="1"/>
    <s v="Free"/>
    <n v="0"/>
    <n v="0"/>
    <n v="0"/>
    <x v="0"/>
    <n v="0"/>
    <n v="0"/>
    <n v="0"/>
    <m/>
    <n v="78.2"/>
    <m/>
    <n v="0"/>
  </r>
  <r>
    <s v="USR-100505"/>
    <d v="2025-04-06T00:00:00"/>
    <x v="0"/>
    <x v="0"/>
    <x v="1"/>
    <x v="3"/>
    <s v="Free"/>
    <n v="0"/>
    <n v="0"/>
    <n v="0"/>
    <x v="0"/>
    <n v="0"/>
    <n v="0"/>
    <n v="0"/>
    <m/>
    <n v="63.8"/>
    <m/>
    <n v="0"/>
  </r>
  <r>
    <s v="USR-100506"/>
    <d v="2025-01-30T00:00:00"/>
    <x v="0"/>
    <x v="0"/>
    <x v="0"/>
    <x v="4"/>
    <s v="Free"/>
    <n v="1"/>
    <n v="0"/>
    <n v="0"/>
    <x v="0"/>
    <n v="0"/>
    <n v="0"/>
    <n v="0"/>
    <m/>
    <n v="56.8"/>
    <m/>
    <n v="0"/>
  </r>
  <r>
    <s v="USR-100507"/>
    <d v="2025-05-13T00:00:00"/>
    <x v="0"/>
    <x v="3"/>
    <x v="0"/>
    <x v="1"/>
    <s v="Basic"/>
    <n v="1"/>
    <n v="1"/>
    <n v="0"/>
    <x v="0"/>
    <n v="0"/>
    <n v="0"/>
    <n v="0"/>
    <m/>
    <n v="59.6"/>
    <m/>
    <n v="0"/>
  </r>
  <r>
    <s v="USR-100508"/>
    <d v="2025-01-20T00:00:00"/>
    <x v="0"/>
    <x v="1"/>
    <x v="1"/>
    <x v="2"/>
    <s v="Premium"/>
    <n v="1"/>
    <n v="1"/>
    <n v="0"/>
    <x v="0"/>
    <n v="0"/>
    <n v="0"/>
    <n v="0"/>
    <m/>
    <n v="50"/>
    <m/>
    <n v="0"/>
  </r>
  <r>
    <s v="USR-100509"/>
    <d v="2025-01-30T00:00:00"/>
    <x v="0"/>
    <x v="0"/>
    <x v="2"/>
    <x v="1"/>
    <s v="Free"/>
    <n v="1"/>
    <n v="0"/>
    <n v="0"/>
    <x v="0"/>
    <n v="0"/>
    <n v="0"/>
    <n v="0"/>
    <m/>
    <n v="35.700000000000003"/>
    <m/>
    <n v="0"/>
  </r>
  <r>
    <s v="USR-100510"/>
    <d v="2025-01-13T00:00:00"/>
    <x v="0"/>
    <x v="3"/>
    <x v="1"/>
    <x v="1"/>
    <s v="Free"/>
    <n v="0"/>
    <n v="0"/>
    <n v="0"/>
    <x v="0"/>
    <n v="0"/>
    <n v="2"/>
    <n v="0"/>
    <m/>
    <n v="47.2"/>
    <m/>
    <n v="1"/>
  </r>
  <r>
    <s v="USR-100511"/>
    <d v="2025-02-11T00:00:00"/>
    <x v="0"/>
    <x v="0"/>
    <x v="1"/>
    <x v="4"/>
    <s v="Free"/>
    <n v="1"/>
    <n v="1"/>
    <n v="0"/>
    <x v="0"/>
    <n v="0"/>
    <n v="0"/>
    <n v="0"/>
    <m/>
    <n v="56.9"/>
    <m/>
    <n v="0"/>
  </r>
  <r>
    <s v="USR-100512"/>
    <d v="2025-04-15T00:00:00"/>
    <x v="0"/>
    <x v="3"/>
    <x v="1"/>
    <x v="1"/>
    <s v="Free"/>
    <n v="0"/>
    <n v="0"/>
    <n v="0"/>
    <x v="0"/>
    <n v="0"/>
    <n v="1"/>
    <n v="0"/>
    <m/>
    <n v="57.2"/>
    <m/>
    <n v="1"/>
  </r>
  <r>
    <s v="USR-100513"/>
    <d v="2025-02-13T00:00:00"/>
    <x v="0"/>
    <x v="3"/>
    <x v="1"/>
    <x v="5"/>
    <s v="Free"/>
    <n v="1"/>
    <n v="1"/>
    <n v="0"/>
    <x v="0"/>
    <n v="0"/>
    <n v="0"/>
    <n v="0"/>
    <m/>
    <n v="31.4"/>
    <m/>
    <n v="0"/>
  </r>
  <r>
    <s v="USR-100514"/>
    <d v="2025-05-09T00:00:00"/>
    <x v="0"/>
    <x v="3"/>
    <x v="0"/>
    <x v="1"/>
    <s v="Free"/>
    <n v="0"/>
    <n v="0"/>
    <n v="0"/>
    <x v="0"/>
    <n v="0"/>
    <n v="0"/>
    <n v="0"/>
    <m/>
    <n v="71.2"/>
    <m/>
    <n v="0"/>
  </r>
  <r>
    <s v="USR-100515"/>
    <d v="2025-03-10T00:00:00"/>
    <x v="0"/>
    <x v="0"/>
    <x v="1"/>
    <x v="2"/>
    <s v="Free"/>
    <n v="1"/>
    <n v="1"/>
    <n v="1"/>
    <x v="0"/>
    <n v="0"/>
    <n v="1"/>
    <n v="0"/>
    <m/>
    <n v="38.299999999999997"/>
    <m/>
    <n v="1"/>
  </r>
  <r>
    <s v="USR-100516"/>
    <d v="2025-04-01T00:00:00"/>
    <x v="0"/>
    <x v="0"/>
    <x v="1"/>
    <x v="1"/>
    <s v="Free"/>
    <n v="1"/>
    <n v="1"/>
    <n v="0"/>
    <x v="0"/>
    <n v="0"/>
    <n v="0"/>
    <n v="0"/>
    <m/>
    <n v="63.1"/>
    <m/>
    <n v="0"/>
  </r>
  <r>
    <s v="USR-100517"/>
    <d v="2025-05-15T00:00:00"/>
    <x v="0"/>
    <x v="2"/>
    <x v="1"/>
    <x v="3"/>
    <s v="Basic"/>
    <n v="1"/>
    <n v="0"/>
    <n v="0"/>
    <x v="0"/>
    <n v="0"/>
    <n v="0"/>
    <n v="0"/>
    <m/>
    <n v="59.7"/>
    <m/>
    <n v="0"/>
  </r>
  <r>
    <s v="USR-100518"/>
    <d v="2025-05-04T00:00:00"/>
    <x v="0"/>
    <x v="3"/>
    <x v="0"/>
    <x v="4"/>
    <s v="Premium"/>
    <n v="1"/>
    <n v="1"/>
    <n v="1"/>
    <x v="0"/>
    <n v="0"/>
    <n v="0"/>
    <n v="0"/>
    <m/>
    <n v="59.5"/>
    <m/>
    <n v="0"/>
  </r>
  <r>
    <s v="USR-100519"/>
    <d v="2025-05-20T00:00:00"/>
    <x v="0"/>
    <x v="2"/>
    <x v="1"/>
    <x v="2"/>
    <s v="Free"/>
    <n v="0"/>
    <n v="0"/>
    <n v="0"/>
    <x v="0"/>
    <n v="0"/>
    <n v="0"/>
    <n v="0"/>
    <m/>
    <n v="78.8"/>
    <m/>
    <n v="0"/>
  </r>
  <r>
    <s v="USR-100520"/>
    <d v="2025-05-16T00:00:00"/>
    <x v="0"/>
    <x v="1"/>
    <x v="0"/>
    <x v="3"/>
    <s v="Free"/>
    <n v="0"/>
    <n v="0"/>
    <n v="0"/>
    <x v="0"/>
    <n v="0"/>
    <n v="0"/>
    <n v="0"/>
    <m/>
    <n v="54"/>
    <m/>
    <n v="0"/>
  </r>
  <r>
    <s v="USR-100521"/>
    <d v="2025-03-17T00:00:00"/>
    <x v="0"/>
    <x v="1"/>
    <x v="1"/>
    <x v="1"/>
    <s v="Free"/>
    <n v="1"/>
    <n v="0"/>
    <n v="0"/>
    <x v="0"/>
    <n v="0"/>
    <n v="0"/>
    <n v="0"/>
    <m/>
    <n v="66.3"/>
    <m/>
    <n v="0"/>
  </r>
  <r>
    <s v="USR-100522"/>
    <d v="2025-01-27T00:00:00"/>
    <x v="0"/>
    <x v="2"/>
    <x v="2"/>
    <x v="2"/>
    <s v="Free"/>
    <n v="1"/>
    <n v="1"/>
    <n v="0"/>
    <x v="0"/>
    <n v="0"/>
    <n v="0"/>
    <n v="0"/>
    <m/>
    <n v="54.7"/>
    <m/>
    <n v="0"/>
  </r>
  <r>
    <s v="USR-100523"/>
    <d v="2025-04-13T00:00:00"/>
    <x v="0"/>
    <x v="3"/>
    <x v="1"/>
    <x v="1"/>
    <s v="Basic"/>
    <n v="1"/>
    <n v="0"/>
    <n v="0"/>
    <x v="0"/>
    <n v="0"/>
    <n v="0"/>
    <n v="0"/>
    <m/>
    <n v="76.7"/>
    <m/>
    <n v="0"/>
  </r>
  <r>
    <s v="USR-100524"/>
    <d v="2025-05-03T00:00:00"/>
    <x v="0"/>
    <x v="3"/>
    <x v="0"/>
    <x v="0"/>
    <s v="Basic"/>
    <n v="1"/>
    <n v="0"/>
    <n v="0"/>
    <x v="0"/>
    <n v="0"/>
    <n v="2"/>
    <n v="0"/>
    <m/>
    <n v="47.4"/>
    <m/>
    <n v="1"/>
  </r>
  <r>
    <s v="USR-100525"/>
    <d v="2025-03-30T00:00:00"/>
    <x v="0"/>
    <x v="0"/>
    <x v="1"/>
    <x v="1"/>
    <s v="Free"/>
    <n v="1"/>
    <n v="1"/>
    <n v="1"/>
    <x v="0"/>
    <n v="0"/>
    <n v="0"/>
    <n v="0"/>
    <m/>
    <n v="81.7"/>
    <m/>
    <n v="0"/>
  </r>
  <r>
    <s v="USR-100526"/>
    <d v="2025-01-01T00:00:00"/>
    <x v="0"/>
    <x v="1"/>
    <x v="1"/>
    <x v="2"/>
    <s v="Basic"/>
    <n v="1"/>
    <n v="1"/>
    <n v="1"/>
    <x v="0"/>
    <n v="0"/>
    <n v="0"/>
    <n v="0"/>
    <m/>
    <n v="67.5"/>
    <m/>
    <n v="0"/>
  </r>
  <r>
    <s v="USR-100527"/>
    <d v="2025-02-06T00:00:00"/>
    <x v="0"/>
    <x v="1"/>
    <x v="1"/>
    <x v="2"/>
    <s v="Basic"/>
    <n v="1"/>
    <n v="0"/>
    <n v="0"/>
    <x v="0"/>
    <n v="0"/>
    <n v="0"/>
    <n v="0"/>
    <m/>
    <n v="36.799999999999997"/>
    <m/>
    <n v="0"/>
  </r>
  <r>
    <s v="USR-100528"/>
    <d v="2025-02-25T00:00:00"/>
    <x v="0"/>
    <x v="0"/>
    <x v="0"/>
    <x v="1"/>
    <s v="Free"/>
    <n v="0"/>
    <n v="0"/>
    <n v="0"/>
    <x v="0"/>
    <n v="0"/>
    <n v="0"/>
    <n v="0"/>
    <m/>
    <n v="66.5"/>
    <m/>
    <n v="0"/>
  </r>
  <r>
    <s v="USR-100529"/>
    <d v="2025-05-14T00:00:00"/>
    <x v="0"/>
    <x v="2"/>
    <x v="2"/>
    <x v="4"/>
    <s v="Free"/>
    <n v="1"/>
    <n v="0"/>
    <n v="0"/>
    <x v="0"/>
    <n v="0"/>
    <n v="0"/>
    <n v="0"/>
    <m/>
    <n v="35.4"/>
    <m/>
    <n v="0"/>
  </r>
  <r>
    <s v="USR-100530"/>
    <d v="2025-05-20T00:00:00"/>
    <x v="0"/>
    <x v="3"/>
    <x v="1"/>
    <x v="1"/>
    <s v="Basic"/>
    <n v="0"/>
    <n v="0"/>
    <n v="0"/>
    <x v="0"/>
    <n v="0"/>
    <n v="0"/>
    <n v="0"/>
    <m/>
    <n v="64.3"/>
    <m/>
    <n v="0"/>
  </r>
  <r>
    <s v="USR-100531"/>
    <d v="2025-02-11T00:00:00"/>
    <x v="0"/>
    <x v="3"/>
    <x v="1"/>
    <x v="1"/>
    <s v="Free"/>
    <n v="0"/>
    <n v="0"/>
    <n v="0"/>
    <x v="0"/>
    <n v="0"/>
    <n v="0"/>
    <n v="0"/>
    <m/>
    <n v="49.1"/>
    <m/>
    <n v="0"/>
  </r>
  <r>
    <s v="USR-100532"/>
    <d v="2025-02-13T00:00:00"/>
    <x v="0"/>
    <x v="1"/>
    <x v="1"/>
    <x v="1"/>
    <s v="Free"/>
    <n v="1"/>
    <n v="0"/>
    <n v="0"/>
    <x v="0"/>
    <n v="0"/>
    <n v="0"/>
    <n v="0"/>
    <m/>
    <n v="84.3"/>
    <m/>
    <n v="0"/>
  </r>
  <r>
    <s v="USR-100533"/>
    <d v="2025-04-07T00:00:00"/>
    <x v="0"/>
    <x v="3"/>
    <x v="1"/>
    <x v="2"/>
    <s v="Premium"/>
    <n v="1"/>
    <n v="0"/>
    <n v="0"/>
    <x v="0"/>
    <n v="0"/>
    <n v="0"/>
    <n v="0"/>
    <m/>
    <n v="65.599999999999994"/>
    <m/>
    <n v="0"/>
  </r>
  <r>
    <s v="USR-100534"/>
    <d v="2025-03-08T00:00:00"/>
    <x v="0"/>
    <x v="2"/>
    <x v="1"/>
    <x v="0"/>
    <s v="Free"/>
    <n v="1"/>
    <n v="0"/>
    <n v="0"/>
    <x v="0"/>
    <n v="0"/>
    <n v="0"/>
    <n v="0"/>
    <m/>
    <n v="47.1"/>
    <m/>
    <n v="0"/>
  </r>
  <r>
    <s v="USR-100535"/>
    <d v="2025-02-16T00:00:00"/>
    <x v="0"/>
    <x v="0"/>
    <x v="0"/>
    <x v="2"/>
    <s v="Free"/>
    <n v="1"/>
    <n v="1"/>
    <n v="1"/>
    <x v="0"/>
    <n v="0"/>
    <n v="0"/>
    <n v="0"/>
    <m/>
    <n v="70"/>
    <m/>
    <n v="0"/>
  </r>
  <r>
    <s v="USR-100536"/>
    <d v="2025-04-28T00:00:00"/>
    <x v="0"/>
    <x v="3"/>
    <x v="1"/>
    <x v="2"/>
    <s v="Premium"/>
    <n v="1"/>
    <n v="0"/>
    <n v="0"/>
    <x v="0"/>
    <n v="0"/>
    <n v="0"/>
    <n v="0"/>
    <m/>
    <n v="54.6"/>
    <m/>
    <n v="0"/>
  </r>
  <r>
    <s v="USR-100537"/>
    <d v="2025-03-10T00:00:00"/>
    <x v="0"/>
    <x v="1"/>
    <x v="2"/>
    <x v="4"/>
    <s v="Basic"/>
    <n v="1"/>
    <n v="1"/>
    <n v="0"/>
    <x v="0"/>
    <n v="0"/>
    <n v="1"/>
    <n v="0"/>
    <m/>
    <n v="65.2"/>
    <m/>
    <n v="1"/>
  </r>
  <r>
    <s v="USR-100538"/>
    <d v="2025-01-25T00:00:00"/>
    <x v="0"/>
    <x v="2"/>
    <x v="1"/>
    <x v="4"/>
    <s v="Free"/>
    <n v="1"/>
    <n v="0"/>
    <n v="0"/>
    <x v="0"/>
    <n v="0"/>
    <n v="0"/>
    <n v="0"/>
    <m/>
    <n v="65"/>
    <m/>
    <n v="0"/>
  </r>
  <r>
    <s v="USR-100539"/>
    <d v="2025-01-11T00:00:00"/>
    <x v="0"/>
    <x v="1"/>
    <x v="1"/>
    <x v="2"/>
    <s v="Premium"/>
    <n v="1"/>
    <n v="1"/>
    <n v="1"/>
    <x v="0"/>
    <n v="0"/>
    <n v="1"/>
    <n v="0"/>
    <m/>
    <n v="42.1"/>
    <m/>
    <n v="1"/>
  </r>
  <r>
    <s v="USR-100540"/>
    <d v="2025-03-31T00:00:00"/>
    <x v="0"/>
    <x v="1"/>
    <x v="2"/>
    <x v="2"/>
    <s v="Free"/>
    <n v="1"/>
    <n v="0"/>
    <n v="0"/>
    <x v="0"/>
    <n v="0"/>
    <n v="0"/>
    <n v="0"/>
    <m/>
    <n v="43.4"/>
    <m/>
    <n v="0"/>
  </r>
  <r>
    <s v="USR-100541"/>
    <d v="2025-05-22T00:00:00"/>
    <x v="0"/>
    <x v="0"/>
    <x v="1"/>
    <x v="2"/>
    <s v="Basic"/>
    <n v="1"/>
    <n v="1"/>
    <n v="0"/>
    <x v="0"/>
    <n v="0"/>
    <n v="0"/>
    <n v="0"/>
    <m/>
    <n v="39.9"/>
    <m/>
    <n v="0"/>
  </r>
  <r>
    <s v="USR-100542"/>
    <d v="2025-05-16T00:00:00"/>
    <x v="0"/>
    <x v="0"/>
    <x v="1"/>
    <x v="3"/>
    <s v="Basic"/>
    <n v="0"/>
    <n v="0"/>
    <n v="0"/>
    <x v="0"/>
    <n v="0"/>
    <n v="0"/>
    <n v="0"/>
    <m/>
    <n v="74.099999999999994"/>
    <m/>
    <n v="0"/>
  </r>
  <r>
    <s v="USR-100543"/>
    <d v="2025-04-25T00:00:00"/>
    <x v="0"/>
    <x v="2"/>
    <x v="0"/>
    <x v="2"/>
    <s v="Free"/>
    <n v="1"/>
    <n v="0"/>
    <n v="0"/>
    <x v="0"/>
    <n v="0"/>
    <n v="0"/>
    <n v="0"/>
    <m/>
    <n v="61.4"/>
    <m/>
    <n v="0"/>
  </r>
  <r>
    <s v="USR-100544"/>
    <d v="2025-04-17T00:00:00"/>
    <x v="0"/>
    <x v="2"/>
    <x v="1"/>
    <x v="4"/>
    <s v="Premium"/>
    <n v="1"/>
    <n v="1"/>
    <n v="1"/>
    <x v="0"/>
    <n v="0"/>
    <n v="0"/>
    <n v="0"/>
    <m/>
    <n v="76.8"/>
    <m/>
    <n v="0"/>
  </r>
  <r>
    <s v="USR-100545"/>
    <d v="2025-01-01T00:00:00"/>
    <x v="0"/>
    <x v="3"/>
    <x v="0"/>
    <x v="4"/>
    <s v="Basic"/>
    <n v="0"/>
    <n v="0"/>
    <n v="0"/>
    <x v="0"/>
    <n v="0"/>
    <n v="0"/>
    <n v="0"/>
    <m/>
    <m/>
    <m/>
    <n v="0"/>
  </r>
  <r>
    <s v="USR-100546"/>
    <d v="2025-03-18T00:00:00"/>
    <x v="0"/>
    <x v="2"/>
    <x v="1"/>
    <x v="2"/>
    <s v="Basic"/>
    <n v="1"/>
    <n v="1"/>
    <n v="1"/>
    <x v="0"/>
    <n v="0"/>
    <n v="0"/>
    <n v="0"/>
    <m/>
    <n v="45.3"/>
    <m/>
    <n v="0"/>
  </r>
  <r>
    <s v="USR-100547"/>
    <d v="2025-05-20T00:00:00"/>
    <x v="0"/>
    <x v="0"/>
    <x v="2"/>
    <x v="2"/>
    <s v="Free"/>
    <n v="1"/>
    <n v="0"/>
    <n v="0"/>
    <x v="0"/>
    <n v="0"/>
    <n v="0"/>
    <n v="0"/>
    <m/>
    <n v="41.4"/>
    <m/>
    <n v="0"/>
  </r>
  <r>
    <s v="USR-100548"/>
    <d v="2025-03-16T00:00:00"/>
    <x v="0"/>
    <x v="0"/>
    <x v="1"/>
    <x v="1"/>
    <s v="Basic"/>
    <n v="1"/>
    <n v="0"/>
    <n v="0"/>
    <x v="0"/>
    <n v="0"/>
    <n v="0"/>
    <n v="0"/>
    <m/>
    <n v="37.1"/>
    <m/>
    <n v="0"/>
  </r>
  <r>
    <s v="USR-100549"/>
    <d v="2025-05-30T00:00:00"/>
    <x v="0"/>
    <x v="2"/>
    <x v="0"/>
    <x v="4"/>
    <s v="Free"/>
    <n v="1"/>
    <n v="0"/>
    <n v="0"/>
    <x v="0"/>
    <n v="0"/>
    <n v="0"/>
    <n v="0"/>
    <m/>
    <n v="40.700000000000003"/>
    <m/>
    <n v="0"/>
  </r>
  <r>
    <s v="USR-100550"/>
    <d v="2025-02-20T00:00:00"/>
    <x v="0"/>
    <x v="0"/>
    <x v="1"/>
    <x v="4"/>
    <s v="Premium"/>
    <n v="0"/>
    <n v="0"/>
    <n v="0"/>
    <x v="0"/>
    <n v="0"/>
    <n v="2"/>
    <n v="0"/>
    <m/>
    <n v="55.9"/>
    <m/>
    <n v="1"/>
  </r>
  <r>
    <s v="USR-100551"/>
    <d v="2025-02-11T00:00:00"/>
    <x v="0"/>
    <x v="2"/>
    <x v="3"/>
    <x v="4"/>
    <s v="Free"/>
    <n v="1"/>
    <n v="1"/>
    <n v="0"/>
    <x v="0"/>
    <n v="0"/>
    <n v="0"/>
    <n v="0"/>
    <m/>
    <n v="55.8"/>
    <m/>
    <n v="0"/>
  </r>
  <r>
    <s v="USR-100552"/>
    <d v="2025-01-02T00:00:00"/>
    <x v="0"/>
    <x v="3"/>
    <x v="2"/>
    <x v="3"/>
    <s v="Basic"/>
    <n v="1"/>
    <n v="0"/>
    <n v="0"/>
    <x v="0"/>
    <n v="0"/>
    <n v="0"/>
    <n v="0"/>
    <m/>
    <n v="64.3"/>
    <m/>
    <n v="0"/>
  </r>
  <r>
    <s v="USR-100553"/>
    <d v="2025-05-03T00:00:00"/>
    <x v="0"/>
    <x v="0"/>
    <x v="1"/>
    <x v="1"/>
    <s v="Free"/>
    <n v="0"/>
    <n v="0"/>
    <n v="0"/>
    <x v="0"/>
    <n v="0"/>
    <n v="0"/>
    <n v="0"/>
    <m/>
    <n v="65.400000000000006"/>
    <m/>
    <n v="0"/>
  </r>
  <r>
    <s v="USR-100554"/>
    <d v="2025-02-24T00:00:00"/>
    <x v="0"/>
    <x v="1"/>
    <x v="1"/>
    <x v="1"/>
    <s v="Free"/>
    <n v="1"/>
    <n v="0"/>
    <n v="0"/>
    <x v="0"/>
    <n v="0"/>
    <n v="0"/>
    <n v="0"/>
    <m/>
    <n v="89.8"/>
    <m/>
    <n v="0"/>
  </r>
  <r>
    <s v="USR-100555"/>
    <d v="2025-02-11T00:00:00"/>
    <x v="0"/>
    <x v="3"/>
    <x v="3"/>
    <x v="1"/>
    <s v="Free"/>
    <n v="1"/>
    <n v="1"/>
    <n v="1"/>
    <x v="0"/>
    <n v="0"/>
    <n v="0"/>
    <n v="0"/>
    <m/>
    <n v="58.3"/>
    <m/>
    <n v="0"/>
  </r>
  <r>
    <s v="USR-100556"/>
    <d v="2025-05-06T00:00:00"/>
    <x v="0"/>
    <x v="3"/>
    <x v="1"/>
    <x v="4"/>
    <s v="Basic"/>
    <n v="1"/>
    <n v="0"/>
    <n v="0"/>
    <x v="0"/>
    <n v="0"/>
    <n v="0"/>
    <n v="0"/>
    <m/>
    <n v="64.400000000000006"/>
    <m/>
    <n v="0"/>
  </r>
  <r>
    <s v="USR-100557"/>
    <d v="2025-05-23T00:00:00"/>
    <x v="0"/>
    <x v="0"/>
    <x v="1"/>
    <x v="2"/>
    <s v="Premium"/>
    <n v="0"/>
    <n v="0"/>
    <n v="0"/>
    <x v="0"/>
    <n v="0"/>
    <n v="0"/>
    <n v="0"/>
    <m/>
    <n v="46.2"/>
    <m/>
    <n v="0"/>
  </r>
  <r>
    <s v="USR-100558"/>
    <d v="2025-01-09T00:00:00"/>
    <x v="0"/>
    <x v="0"/>
    <x v="0"/>
    <x v="2"/>
    <s v="Free"/>
    <n v="0"/>
    <n v="0"/>
    <n v="0"/>
    <x v="0"/>
    <n v="0"/>
    <n v="0"/>
    <n v="0"/>
    <m/>
    <n v="78"/>
    <m/>
    <n v="0"/>
  </r>
  <r>
    <s v="USR-100559"/>
    <d v="2025-04-01T00:00:00"/>
    <x v="0"/>
    <x v="0"/>
    <x v="0"/>
    <x v="1"/>
    <s v="Premium"/>
    <n v="1"/>
    <n v="0"/>
    <n v="0"/>
    <x v="0"/>
    <n v="0"/>
    <n v="0"/>
    <n v="0"/>
    <m/>
    <n v="62.3"/>
    <m/>
    <n v="0"/>
  </r>
  <r>
    <s v="USR-100560"/>
    <d v="2025-03-08T00:00:00"/>
    <x v="0"/>
    <x v="0"/>
    <x v="1"/>
    <x v="1"/>
    <s v="Free"/>
    <n v="1"/>
    <n v="0"/>
    <n v="0"/>
    <x v="0"/>
    <n v="0"/>
    <n v="0"/>
    <n v="0"/>
    <m/>
    <n v="78.8"/>
    <m/>
    <n v="0"/>
  </r>
  <r>
    <s v="USR-100561"/>
    <d v="2025-02-20T00:00:00"/>
    <x v="0"/>
    <x v="0"/>
    <x v="1"/>
    <x v="4"/>
    <s v="Basic"/>
    <n v="1"/>
    <n v="0"/>
    <n v="0"/>
    <x v="0"/>
    <n v="0"/>
    <n v="0"/>
    <n v="0"/>
    <m/>
    <n v="25"/>
    <m/>
    <n v="0"/>
  </r>
  <r>
    <s v="USR-100562"/>
    <d v="2025-03-30T00:00:00"/>
    <x v="0"/>
    <x v="2"/>
    <x v="1"/>
    <x v="4"/>
    <s v="Basic"/>
    <n v="0"/>
    <n v="0"/>
    <n v="0"/>
    <x v="0"/>
    <n v="0"/>
    <n v="0"/>
    <n v="0"/>
    <m/>
    <n v="53.4"/>
    <m/>
    <n v="0"/>
  </r>
  <r>
    <s v="USR-100563"/>
    <d v="2025-04-10T00:00:00"/>
    <x v="0"/>
    <x v="2"/>
    <x v="0"/>
    <x v="1"/>
    <s v="Basic"/>
    <n v="0"/>
    <n v="0"/>
    <n v="0"/>
    <x v="0"/>
    <n v="0"/>
    <n v="0"/>
    <n v="0"/>
    <m/>
    <n v="40.700000000000003"/>
    <m/>
    <n v="0"/>
  </r>
  <r>
    <s v="USR-100564"/>
    <d v="2025-03-24T00:00:00"/>
    <x v="0"/>
    <x v="2"/>
    <x v="1"/>
    <x v="1"/>
    <s v="Premium"/>
    <n v="1"/>
    <n v="1"/>
    <n v="0"/>
    <x v="0"/>
    <n v="0"/>
    <n v="0"/>
    <n v="0"/>
    <m/>
    <n v="36.700000000000003"/>
    <m/>
    <n v="0"/>
  </r>
  <r>
    <s v="USR-100565"/>
    <d v="2025-05-21T00:00:00"/>
    <x v="0"/>
    <x v="1"/>
    <x v="1"/>
    <x v="1"/>
    <s v="Basic"/>
    <n v="1"/>
    <n v="0"/>
    <n v="0"/>
    <x v="0"/>
    <n v="0"/>
    <n v="1"/>
    <n v="0"/>
    <m/>
    <n v="67.5"/>
    <m/>
    <n v="1"/>
  </r>
  <r>
    <s v="USR-100566"/>
    <d v="2025-03-29T00:00:00"/>
    <x v="0"/>
    <x v="2"/>
    <x v="1"/>
    <x v="4"/>
    <s v="Premium"/>
    <n v="1"/>
    <n v="1"/>
    <n v="1"/>
    <x v="0"/>
    <n v="0"/>
    <n v="0"/>
    <n v="0"/>
    <m/>
    <n v="69.900000000000006"/>
    <m/>
    <n v="0"/>
  </r>
  <r>
    <s v="USR-100567"/>
    <d v="2025-02-23T00:00:00"/>
    <x v="0"/>
    <x v="0"/>
    <x v="2"/>
    <x v="3"/>
    <s v="Basic"/>
    <n v="1"/>
    <n v="0"/>
    <n v="0"/>
    <x v="0"/>
    <n v="0"/>
    <n v="0"/>
    <n v="0"/>
    <m/>
    <n v="65.099999999999994"/>
    <m/>
    <n v="0"/>
  </r>
  <r>
    <s v="USR-100568"/>
    <d v="2025-02-16T00:00:00"/>
    <x v="0"/>
    <x v="1"/>
    <x v="1"/>
    <x v="2"/>
    <s v="Premium"/>
    <n v="1"/>
    <n v="0"/>
    <n v="0"/>
    <x v="0"/>
    <n v="0"/>
    <n v="0"/>
    <n v="0"/>
    <m/>
    <n v="48.7"/>
    <m/>
    <n v="0"/>
  </r>
  <r>
    <s v="USR-100569"/>
    <d v="2025-02-21T00:00:00"/>
    <x v="0"/>
    <x v="1"/>
    <x v="0"/>
    <x v="1"/>
    <s v="Basic"/>
    <n v="1"/>
    <n v="1"/>
    <n v="0"/>
    <x v="0"/>
    <n v="0"/>
    <n v="0"/>
    <n v="0"/>
    <m/>
    <n v="47.2"/>
    <m/>
    <n v="0"/>
  </r>
  <r>
    <s v="USR-100570"/>
    <d v="2025-01-07T00:00:00"/>
    <x v="0"/>
    <x v="0"/>
    <x v="1"/>
    <x v="3"/>
    <s v="Free"/>
    <n v="1"/>
    <n v="0"/>
    <n v="0"/>
    <x v="0"/>
    <n v="0"/>
    <n v="2"/>
    <n v="0"/>
    <m/>
    <n v="20.3"/>
    <m/>
    <n v="1"/>
  </r>
  <r>
    <s v="USR-100571"/>
    <d v="2025-03-06T00:00:00"/>
    <x v="0"/>
    <x v="1"/>
    <x v="1"/>
    <x v="2"/>
    <s v="Free"/>
    <n v="0"/>
    <n v="0"/>
    <n v="0"/>
    <x v="0"/>
    <n v="0"/>
    <n v="1"/>
    <n v="0"/>
    <m/>
    <n v="57.8"/>
    <m/>
    <n v="1"/>
  </r>
  <r>
    <s v="USR-100572"/>
    <d v="2025-03-30T00:00:00"/>
    <x v="0"/>
    <x v="2"/>
    <x v="1"/>
    <x v="0"/>
    <s v="Basic"/>
    <n v="1"/>
    <n v="0"/>
    <n v="0"/>
    <x v="0"/>
    <n v="0"/>
    <n v="0"/>
    <n v="0"/>
    <m/>
    <n v="78.7"/>
    <m/>
    <n v="0"/>
  </r>
  <r>
    <s v="USR-100573"/>
    <d v="2025-05-31T00:00:00"/>
    <x v="0"/>
    <x v="3"/>
    <x v="0"/>
    <x v="1"/>
    <s v="Free"/>
    <n v="1"/>
    <n v="0"/>
    <n v="0"/>
    <x v="0"/>
    <n v="0"/>
    <n v="0"/>
    <n v="0"/>
    <m/>
    <n v="63.6"/>
    <m/>
    <n v="0"/>
  </r>
  <r>
    <s v="USR-100574"/>
    <d v="2025-02-20T00:00:00"/>
    <x v="0"/>
    <x v="3"/>
    <x v="1"/>
    <x v="0"/>
    <s v="Free"/>
    <n v="0"/>
    <n v="0"/>
    <n v="0"/>
    <x v="0"/>
    <n v="0"/>
    <n v="2"/>
    <n v="0"/>
    <m/>
    <n v="45.1"/>
    <m/>
    <n v="1"/>
  </r>
  <r>
    <s v="USR-100575"/>
    <d v="2025-01-13T00:00:00"/>
    <x v="0"/>
    <x v="1"/>
    <x v="1"/>
    <x v="4"/>
    <s v="Free"/>
    <n v="0"/>
    <n v="0"/>
    <n v="0"/>
    <x v="0"/>
    <n v="0"/>
    <n v="0"/>
    <n v="0"/>
    <m/>
    <n v="77.5"/>
    <m/>
    <n v="0"/>
  </r>
  <r>
    <s v="USR-100576"/>
    <d v="2025-05-13T00:00:00"/>
    <x v="0"/>
    <x v="2"/>
    <x v="0"/>
    <x v="2"/>
    <s v="Basic"/>
    <n v="1"/>
    <n v="1"/>
    <n v="0"/>
    <x v="0"/>
    <n v="0"/>
    <n v="0"/>
    <n v="0"/>
    <m/>
    <n v="58"/>
    <m/>
    <n v="0"/>
  </r>
  <r>
    <s v="USR-100577"/>
    <d v="2025-04-21T00:00:00"/>
    <x v="0"/>
    <x v="3"/>
    <x v="2"/>
    <x v="1"/>
    <s v="Free"/>
    <n v="1"/>
    <n v="0"/>
    <n v="0"/>
    <x v="0"/>
    <n v="0"/>
    <n v="0"/>
    <n v="0"/>
    <m/>
    <n v="68.099999999999994"/>
    <m/>
    <n v="0"/>
  </r>
  <r>
    <s v="USR-100578"/>
    <d v="2025-03-01T00:00:00"/>
    <x v="0"/>
    <x v="2"/>
    <x v="2"/>
    <x v="1"/>
    <s v="Premium"/>
    <n v="1"/>
    <n v="0"/>
    <n v="0"/>
    <x v="0"/>
    <n v="0"/>
    <n v="0"/>
    <n v="0"/>
    <m/>
    <n v="35.4"/>
    <m/>
    <n v="0"/>
  </r>
  <r>
    <s v="USR-100579"/>
    <d v="2025-03-10T00:00:00"/>
    <x v="0"/>
    <x v="1"/>
    <x v="2"/>
    <x v="1"/>
    <s v="Free"/>
    <n v="0"/>
    <n v="0"/>
    <n v="0"/>
    <x v="0"/>
    <n v="0"/>
    <n v="0"/>
    <n v="0"/>
    <m/>
    <n v="47"/>
    <m/>
    <n v="0"/>
  </r>
  <r>
    <s v="USR-100580"/>
    <d v="2025-03-08T00:00:00"/>
    <x v="0"/>
    <x v="2"/>
    <x v="0"/>
    <x v="2"/>
    <s v="Free"/>
    <n v="0"/>
    <n v="0"/>
    <n v="0"/>
    <x v="0"/>
    <n v="0"/>
    <n v="0"/>
    <n v="0"/>
    <m/>
    <n v="75"/>
    <m/>
    <n v="0"/>
  </r>
  <r>
    <s v="USR-100581"/>
    <d v="2025-05-26T00:00:00"/>
    <x v="0"/>
    <x v="3"/>
    <x v="0"/>
    <x v="2"/>
    <s v="Free"/>
    <n v="1"/>
    <n v="1"/>
    <n v="1"/>
    <x v="0"/>
    <n v="0"/>
    <n v="3"/>
    <n v="0"/>
    <m/>
    <n v="50.2"/>
    <m/>
    <n v="1"/>
  </r>
  <r>
    <s v="USR-100582"/>
    <d v="2025-05-20T00:00:00"/>
    <x v="0"/>
    <x v="2"/>
    <x v="0"/>
    <x v="2"/>
    <s v="Free"/>
    <n v="1"/>
    <n v="0"/>
    <n v="0"/>
    <x v="0"/>
    <n v="0"/>
    <n v="0"/>
    <n v="0"/>
    <m/>
    <n v="40.1"/>
    <m/>
    <n v="0"/>
  </r>
  <r>
    <s v="USR-100583"/>
    <d v="2025-03-22T00:00:00"/>
    <x v="0"/>
    <x v="1"/>
    <x v="0"/>
    <x v="2"/>
    <s v="Free"/>
    <n v="0"/>
    <n v="0"/>
    <n v="0"/>
    <x v="0"/>
    <n v="0"/>
    <n v="0"/>
    <n v="0"/>
    <m/>
    <n v="61.1"/>
    <m/>
    <n v="0"/>
  </r>
  <r>
    <s v="USR-100584"/>
    <d v="2025-02-15T00:00:00"/>
    <x v="0"/>
    <x v="3"/>
    <x v="0"/>
    <x v="2"/>
    <s v="Free"/>
    <n v="0"/>
    <n v="0"/>
    <n v="0"/>
    <x v="0"/>
    <n v="0"/>
    <n v="0"/>
    <n v="0"/>
    <m/>
    <n v="42.4"/>
    <m/>
    <n v="0"/>
  </r>
  <r>
    <s v="USR-100585"/>
    <d v="2025-01-08T00:00:00"/>
    <x v="0"/>
    <x v="0"/>
    <x v="1"/>
    <x v="4"/>
    <s v="Free"/>
    <n v="0"/>
    <n v="0"/>
    <n v="0"/>
    <x v="0"/>
    <n v="0"/>
    <n v="1"/>
    <n v="0"/>
    <m/>
    <n v="46.6"/>
    <m/>
    <n v="1"/>
  </r>
  <r>
    <s v="USR-100586"/>
    <d v="2025-01-29T00:00:00"/>
    <x v="0"/>
    <x v="3"/>
    <x v="1"/>
    <x v="1"/>
    <s v="Premium"/>
    <n v="1"/>
    <n v="1"/>
    <n v="0"/>
    <x v="0"/>
    <n v="0"/>
    <n v="0"/>
    <n v="0"/>
    <m/>
    <n v="72.099999999999994"/>
    <m/>
    <n v="0"/>
  </r>
  <r>
    <s v="USR-100587"/>
    <d v="2025-05-07T00:00:00"/>
    <x v="0"/>
    <x v="2"/>
    <x v="2"/>
    <x v="1"/>
    <s v="Free"/>
    <n v="0"/>
    <n v="0"/>
    <n v="0"/>
    <x v="0"/>
    <n v="0"/>
    <n v="0"/>
    <n v="0"/>
    <m/>
    <n v="21.5"/>
    <m/>
    <n v="0"/>
  </r>
  <r>
    <s v="USR-100588"/>
    <d v="2025-03-01T00:00:00"/>
    <x v="0"/>
    <x v="0"/>
    <x v="1"/>
    <x v="4"/>
    <s v="Basic"/>
    <n v="1"/>
    <n v="0"/>
    <n v="0"/>
    <x v="0"/>
    <n v="0"/>
    <n v="1"/>
    <n v="0"/>
    <m/>
    <n v="65.400000000000006"/>
    <m/>
    <n v="1"/>
  </r>
  <r>
    <s v="USR-100589"/>
    <d v="2025-04-20T00:00:00"/>
    <x v="0"/>
    <x v="2"/>
    <x v="1"/>
    <x v="1"/>
    <s v="Free"/>
    <n v="1"/>
    <n v="1"/>
    <n v="0"/>
    <x v="0"/>
    <n v="0"/>
    <n v="0"/>
    <n v="0"/>
    <m/>
    <n v="53.3"/>
    <m/>
    <n v="0"/>
  </r>
  <r>
    <s v="USR-100590"/>
    <d v="2025-01-16T00:00:00"/>
    <x v="0"/>
    <x v="2"/>
    <x v="1"/>
    <x v="1"/>
    <s v="Premium"/>
    <n v="0"/>
    <n v="0"/>
    <n v="0"/>
    <x v="0"/>
    <n v="0"/>
    <n v="2"/>
    <n v="0"/>
    <m/>
    <n v="52.3"/>
    <m/>
    <n v="1"/>
  </r>
  <r>
    <s v="USR-100591"/>
    <d v="2025-04-04T00:00:00"/>
    <x v="0"/>
    <x v="2"/>
    <x v="1"/>
    <x v="2"/>
    <s v="Free"/>
    <n v="1"/>
    <n v="0"/>
    <n v="0"/>
    <x v="0"/>
    <n v="0"/>
    <n v="0"/>
    <n v="0"/>
    <m/>
    <n v="62.5"/>
    <m/>
    <n v="0"/>
  </r>
  <r>
    <s v="USR-100592"/>
    <d v="2025-01-29T00:00:00"/>
    <x v="0"/>
    <x v="0"/>
    <x v="2"/>
    <x v="4"/>
    <s v="Free"/>
    <n v="1"/>
    <n v="0"/>
    <n v="0"/>
    <x v="0"/>
    <n v="0"/>
    <n v="0"/>
    <n v="0"/>
    <m/>
    <n v="69.8"/>
    <m/>
    <n v="0"/>
  </r>
  <r>
    <s v="USR-100593"/>
    <d v="2025-04-19T00:00:00"/>
    <x v="0"/>
    <x v="2"/>
    <x v="1"/>
    <x v="0"/>
    <s v="Free"/>
    <n v="1"/>
    <n v="0"/>
    <n v="0"/>
    <x v="0"/>
    <n v="0"/>
    <n v="0"/>
    <n v="0"/>
    <m/>
    <n v="68.2"/>
    <m/>
    <n v="0"/>
  </r>
  <r>
    <s v="USR-100594"/>
    <d v="2025-03-10T00:00:00"/>
    <x v="0"/>
    <x v="3"/>
    <x v="1"/>
    <x v="4"/>
    <s v="Basic"/>
    <n v="1"/>
    <n v="1"/>
    <n v="1"/>
    <x v="1"/>
    <n v="751.73"/>
    <n v="0"/>
    <n v="0"/>
    <n v="6"/>
    <n v="35.200000000000003"/>
    <m/>
    <n v="0"/>
  </r>
  <r>
    <s v="USR-100595"/>
    <d v="2025-05-10T00:00:00"/>
    <x v="0"/>
    <x v="3"/>
    <x v="1"/>
    <x v="4"/>
    <s v="Basic"/>
    <n v="0"/>
    <n v="0"/>
    <n v="0"/>
    <x v="0"/>
    <n v="0"/>
    <n v="0"/>
    <n v="0"/>
    <m/>
    <n v="59.3"/>
    <m/>
    <n v="0"/>
  </r>
  <r>
    <s v="USR-100596"/>
    <d v="2025-02-02T00:00:00"/>
    <x v="0"/>
    <x v="0"/>
    <x v="1"/>
    <x v="4"/>
    <s v="Free"/>
    <n v="0"/>
    <n v="0"/>
    <n v="0"/>
    <x v="0"/>
    <n v="0"/>
    <n v="0"/>
    <n v="0"/>
    <m/>
    <n v="68.099999999999994"/>
    <m/>
    <n v="0"/>
  </r>
  <r>
    <s v="USR-100597"/>
    <d v="2025-05-06T00:00:00"/>
    <x v="0"/>
    <x v="0"/>
    <x v="0"/>
    <x v="1"/>
    <s v="Free"/>
    <n v="1"/>
    <n v="1"/>
    <n v="0"/>
    <x v="0"/>
    <n v="0"/>
    <n v="0"/>
    <n v="0"/>
    <m/>
    <n v="74.8"/>
    <m/>
    <n v="0"/>
  </r>
  <r>
    <s v="USR-100598"/>
    <d v="2025-01-19T00:00:00"/>
    <x v="0"/>
    <x v="1"/>
    <x v="0"/>
    <x v="1"/>
    <s v="Free"/>
    <n v="1"/>
    <n v="1"/>
    <n v="1"/>
    <x v="0"/>
    <n v="0"/>
    <n v="0"/>
    <n v="0"/>
    <m/>
    <n v="61.7"/>
    <m/>
    <n v="0"/>
  </r>
  <r>
    <s v="USR-100599"/>
    <d v="2025-01-02T00:00:00"/>
    <x v="0"/>
    <x v="0"/>
    <x v="1"/>
    <x v="1"/>
    <s v="Free"/>
    <n v="1"/>
    <n v="0"/>
    <n v="0"/>
    <x v="0"/>
    <n v="0"/>
    <n v="0"/>
    <n v="0"/>
    <m/>
    <n v="24.3"/>
    <m/>
    <n v="0"/>
  </r>
  <r>
    <s v="USR-100600"/>
    <d v="2025-05-03T00:00:00"/>
    <x v="0"/>
    <x v="3"/>
    <x v="0"/>
    <x v="2"/>
    <s v="Free"/>
    <n v="0"/>
    <n v="0"/>
    <n v="0"/>
    <x v="0"/>
    <n v="0"/>
    <n v="1"/>
    <n v="0"/>
    <m/>
    <n v="61.9"/>
    <m/>
    <n v="1"/>
  </r>
  <r>
    <s v="USR-100601"/>
    <d v="2025-05-27T00:00:00"/>
    <x v="0"/>
    <x v="2"/>
    <x v="0"/>
    <x v="3"/>
    <s v="Premium"/>
    <n v="0"/>
    <n v="0"/>
    <n v="0"/>
    <x v="0"/>
    <n v="0"/>
    <n v="2"/>
    <n v="0"/>
    <m/>
    <n v="41.7"/>
    <m/>
    <n v="1"/>
  </r>
  <r>
    <s v="USR-100602"/>
    <d v="2025-02-09T00:00:00"/>
    <x v="0"/>
    <x v="3"/>
    <x v="0"/>
    <x v="4"/>
    <s v="Free"/>
    <n v="1"/>
    <n v="0"/>
    <n v="0"/>
    <x v="0"/>
    <n v="0"/>
    <n v="0"/>
    <n v="0"/>
    <m/>
    <n v="87.6"/>
    <m/>
    <n v="0"/>
  </r>
  <r>
    <s v="USR-100603"/>
    <d v="2025-05-18T00:00:00"/>
    <x v="0"/>
    <x v="2"/>
    <x v="1"/>
    <x v="2"/>
    <s v="Free"/>
    <n v="1"/>
    <n v="0"/>
    <n v="0"/>
    <x v="0"/>
    <n v="0"/>
    <n v="0"/>
    <n v="0"/>
    <m/>
    <n v="30.8"/>
    <m/>
    <n v="0"/>
  </r>
  <r>
    <s v="USR-100604"/>
    <d v="2025-05-17T00:00:00"/>
    <x v="0"/>
    <x v="0"/>
    <x v="1"/>
    <x v="0"/>
    <s v="Free"/>
    <n v="0"/>
    <n v="0"/>
    <n v="0"/>
    <x v="0"/>
    <n v="0"/>
    <n v="0"/>
    <n v="0"/>
    <m/>
    <n v="54"/>
    <m/>
    <n v="0"/>
  </r>
  <r>
    <s v="USR-100605"/>
    <d v="2025-01-25T00:00:00"/>
    <x v="0"/>
    <x v="2"/>
    <x v="0"/>
    <x v="3"/>
    <s v="Basic"/>
    <n v="1"/>
    <n v="0"/>
    <n v="0"/>
    <x v="0"/>
    <n v="0"/>
    <n v="1"/>
    <n v="0"/>
    <m/>
    <n v="54.5"/>
    <m/>
    <n v="1"/>
  </r>
  <r>
    <s v="USR-100606"/>
    <d v="2025-05-04T00:00:00"/>
    <x v="0"/>
    <x v="1"/>
    <x v="1"/>
    <x v="2"/>
    <s v="Premium"/>
    <n v="1"/>
    <n v="1"/>
    <n v="0"/>
    <x v="0"/>
    <n v="0"/>
    <n v="0"/>
    <n v="0"/>
    <m/>
    <n v="61.3"/>
    <m/>
    <n v="0"/>
  </r>
  <r>
    <s v="USR-100607"/>
    <d v="2025-04-14T00:00:00"/>
    <x v="0"/>
    <x v="1"/>
    <x v="1"/>
    <x v="1"/>
    <s v="Free"/>
    <n v="1"/>
    <n v="0"/>
    <n v="0"/>
    <x v="0"/>
    <n v="0"/>
    <n v="0"/>
    <n v="0"/>
    <m/>
    <n v="62.7"/>
    <m/>
    <n v="0"/>
  </r>
  <r>
    <s v="USR-100608"/>
    <d v="2025-04-18T00:00:00"/>
    <x v="0"/>
    <x v="3"/>
    <x v="1"/>
    <x v="2"/>
    <s v="Free"/>
    <n v="1"/>
    <n v="1"/>
    <n v="0"/>
    <x v="0"/>
    <n v="0"/>
    <n v="0"/>
    <n v="0"/>
    <m/>
    <n v="43.1"/>
    <m/>
    <n v="0"/>
  </r>
  <r>
    <s v="USR-100609"/>
    <d v="2025-02-24T00:00:00"/>
    <x v="0"/>
    <x v="3"/>
    <x v="0"/>
    <x v="0"/>
    <s v="Basic"/>
    <n v="0"/>
    <n v="0"/>
    <n v="0"/>
    <x v="0"/>
    <n v="0"/>
    <n v="0"/>
    <n v="0"/>
    <m/>
    <n v="59.9"/>
    <m/>
    <n v="0"/>
  </r>
  <r>
    <s v="USR-100610"/>
    <d v="2025-04-19T00:00:00"/>
    <x v="0"/>
    <x v="0"/>
    <x v="2"/>
    <x v="2"/>
    <s v="Free"/>
    <n v="1"/>
    <n v="1"/>
    <n v="1"/>
    <x v="0"/>
    <n v="0"/>
    <n v="0"/>
    <n v="0"/>
    <m/>
    <n v="55.7"/>
    <m/>
    <n v="0"/>
  </r>
  <r>
    <s v="USR-100611"/>
    <d v="2025-03-07T00:00:00"/>
    <x v="0"/>
    <x v="3"/>
    <x v="0"/>
    <x v="1"/>
    <s v="Basic"/>
    <n v="1"/>
    <n v="0"/>
    <n v="0"/>
    <x v="0"/>
    <n v="0"/>
    <n v="0"/>
    <n v="0"/>
    <m/>
    <n v="37.1"/>
    <m/>
    <n v="0"/>
  </r>
  <r>
    <s v="USR-100612"/>
    <d v="2025-03-09T00:00:00"/>
    <x v="0"/>
    <x v="2"/>
    <x v="1"/>
    <x v="1"/>
    <s v="Basic"/>
    <n v="0"/>
    <n v="0"/>
    <n v="0"/>
    <x v="0"/>
    <n v="0"/>
    <n v="1"/>
    <n v="0"/>
    <m/>
    <n v="46.7"/>
    <m/>
    <n v="1"/>
  </r>
  <r>
    <s v="USR-100613"/>
    <d v="2025-05-01T00:00:00"/>
    <x v="0"/>
    <x v="3"/>
    <x v="0"/>
    <x v="1"/>
    <s v="Basic"/>
    <n v="1"/>
    <n v="0"/>
    <n v="0"/>
    <x v="0"/>
    <n v="0"/>
    <n v="0"/>
    <n v="0"/>
    <m/>
    <n v="54.1"/>
    <m/>
    <n v="0"/>
  </r>
  <r>
    <s v="USR-100614"/>
    <d v="2025-02-09T00:00:00"/>
    <x v="0"/>
    <x v="1"/>
    <x v="0"/>
    <x v="1"/>
    <s v="Premium"/>
    <n v="1"/>
    <n v="1"/>
    <n v="1"/>
    <x v="0"/>
    <n v="0"/>
    <n v="0"/>
    <n v="0"/>
    <m/>
    <n v="56.1"/>
    <m/>
    <n v="0"/>
  </r>
  <r>
    <s v="USR-100615"/>
    <d v="2025-05-22T00:00:00"/>
    <x v="0"/>
    <x v="1"/>
    <x v="1"/>
    <x v="3"/>
    <s v="Premium"/>
    <n v="0"/>
    <n v="0"/>
    <n v="0"/>
    <x v="0"/>
    <n v="0"/>
    <n v="0"/>
    <n v="0"/>
    <m/>
    <n v="23.6"/>
    <m/>
    <n v="0"/>
  </r>
  <r>
    <s v="USR-100616"/>
    <d v="2025-02-11T00:00:00"/>
    <x v="0"/>
    <x v="0"/>
    <x v="1"/>
    <x v="1"/>
    <s v="Premium"/>
    <n v="0"/>
    <n v="0"/>
    <n v="0"/>
    <x v="0"/>
    <n v="0"/>
    <n v="0"/>
    <n v="0"/>
    <m/>
    <n v="54.7"/>
    <m/>
    <n v="0"/>
  </r>
  <r>
    <s v="USR-100617"/>
    <d v="2025-04-12T00:00:00"/>
    <x v="0"/>
    <x v="0"/>
    <x v="1"/>
    <x v="3"/>
    <s v="Basic"/>
    <n v="0"/>
    <n v="0"/>
    <n v="0"/>
    <x v="0"/>
    <n v="0"/>
    <n v="2"/>
    <n v="0"/>
    <m/>
    <n v="50.4"/>
    <m/>
    <n v="1"/>
  </r>
  <r>
    <s v="USR-100618"/>
    <d v="2025-03-01T00:00:00"/>
    <x v="0"/>
    <x v="1"/>
    <x v="1"/>
    <x v="4"/>
    <s v="Free"/>
    <n v="1"/>
    <n v="0"/>
    <n v="0"/>
    <x v="0"/>
    <n v="0"/>
    <n v="0"/>
    <n v="0"/>
    <m/>
    <n v="54.5"/>
    <m/>
    <n v="0"/>
  </r>
  <r>
    <s v="USR-100619"/>
    <d v="2025-03-17T00:00:00"/>
    <x v="0"/>
    <x v="1"/>
    <x v="0"/>
    <x v="0"/>
    <s v="Basic"/>
    <n v="0"/>
    <n v="0"/>
    <n v="0"/>
    <x v="0"/>
    <n v="0"/>
    <n v="0"/>
    <n v="0"/>
    <m/>
    <n v="58"/>
    <m/>
    <n v="0"/>
  </r>
  <r>
    <s v="USR-100620"/>
    <d v="2025-01-11T00:00:00"/>
    <x v="0"/>
    <x v="0"/>
    <x v="1"/>
    <x v="2"/>
    <s v="Free"/>
    <n v="0"/>
    <n v="0"/>
    <n v="0"/>
    <x v="0"/>
    <n v="0"/>
    <n v="0"/>
    <n v="0"/>
    <m/>
    <n v="42.9"/>
    <m/>
    <n v="0"/>
  </r>
  <r>
    <s v="USR-100621"/>
    <d v="2025-02-17T00:00:00"/>
    <x v="0"/>
    <x v="3"/>
    <x v="1"/>
    <x v="4"/>
    <s v="Premium"/>
    <n v="1"/>
    <n v="0"/>
    <n v="0"/>
    <x v="0"/>
    <n v="0"/>
    <n v="0"/>
    <n v="0"/>
    <m/>
    <n v="51.1"/>
    <m/>
    <n v="0"/>
  </r>
  <r>
    <s v="USR-100622"/>
    <d v="2025-03-25T00:00:00"/>
    <x v="0"/>
    <x v="2"/>
    <x v="1"/>
    <x v="2"/>
    <s v="Basic"/>
    <n v="1"/>
    <n v="1"/>
    <n v="0"/>
    <x v="0"/>
    <n v="0"/>
    <n v="0"/>
    <n v="0"/>
    <m/>
    <n v="51.8"/>
    <m/>
    <n v="0"/>
  </r>
  <r>
    <s v="USR-100623"/>
    <d v="2025-05-01T00:00:00"/>
    <x v="0"/>
    <x v="3"/>
    <x v="1"/>
    <x v="2"/>
    <s v="Free"/>
    <n v="0"/>
    <n v="0"/>
    <n v="0"/>
    <x v="0"/>
    <n v="0"/>
    <n v="0"/>
    <n v="0"/>
    <m/>
    <n v="67.7"/>
    <m/>
    <n v="0"/>
  </r>
  <r>
    <s v="USR-100624"/>
    <d v="2025-04-02T00:00:00"/>
    <x v="0"/>
    <x v="2"/>
    <x v="1"/>
    <x v="1"/>
    <s v="Basic"/>
    <n v="0"/>
    <n v="0"/>
    <n v="0"/>
    <x v="0"/>
    <n v="0"/>
    <n v="0"/>
    <n v="0"/>
    <m/>
    <n v="75.8"/>
    <m/>
    <n v="0"/>
  </r>
  <r>
    <s v="USR-100625"/>
    <d v="2025-04-05T00:00:00"/>
    <x v="0"/>
    <x v="2"/>
    <x v="1"/>
    <x v="0"/>
    <s v="Free"/>
    <n v="1"/>
    <n v="1"/>
    <n v="0"/>
    <x v="0"/>
    <n v="0"/>
    <n v="0"/>
    <n v="0"/>
    <m/>
    <n v="72.8"/>
    <m/>
    <n v="0"/>
  </r>
  <r>
    <s v="USR-100626"/>
    <d v="2025-02-24T00:00:00"/>
    <x v="0"/>
    <x v="0"/>
    <x v="0"/>
    <x v="4"/>
    <s v="Free"/>
    <n v="1"/>
    <n v="1"/>
    <n v="0"/>
    <x v="0"/>
    <n v="0"/>
    <n v="0"/>
    <n v="0"/>
    <m/>
    <n v="54.4"/>
    <m/>
    <n v="0"/>
  </r>
  <r>
    <s v="USR-100627"/>
    <d v="2025-01-24T00:00:00"/>
    <x v="0"/>
    <x v="1"/>
    <x v="1"/>
    <x v="2"/>
    <s v="Basic"/>
    <n v="1"/>
    <n v="0"/>
    <n v="0"/>
    <x v="0"/>
    <n v="0"/>
    <n v="0"/>
    <n v="0"/>
    <m/>
    <n v="51.8"/>
    <m/>
    <n v="0"/>
  </r>
  <r>
    <s v="USR-100628"/>
    <d v="2025-04-10T00:00:00"/>
    <x v="0"/>
    <x v="3"/>
    <x v="1"/>
    <x v="2"/>
    <s v="Free"/>
    <n v="0"/>
    <n v="0"/>
    <n v="0"/>
    <x v="0"/>
    <n v="0"/>
    <n v="0"/>
    <n v="0"/>
    <m/>
    <n v="40.299999999999997"/>
    <m/>
    <n v="0"/>
  </r>
  <r>
    <s v="USR-100629"/>
    <d v="2025-02-19T00:00:00"/>
    <x v="0"/>
    <x v="3"/>
    <x v="1"/>
    <x v="3"/>
    <s v="Free"/>
    <n v="1"/>
    <n v="1"/>
    <n v="1"/>
    <x v="0"/>
    <n v="0"/>
    <n v="0"/>
    <n v="0"/>
    <m/>
    <n v="61.7"/>
    <m/>
    <n v="0"/>
  </r>
  <r>
    <s v="USR-100630"/>
    <d v="2025-03-22T00:00:00"/>
    <x v="0"/>
    <x v="0"/>
    <x v="1"/>
    <x v="4"/>
    <s v="Free"/>
    <n v="0"/>
    <n v="0"/>
    <n v="0"/>
    <x v="0"/>
    <n v="0"/>
    <n v="0"/>
    <n v="0"/>
    <m/>
    <n v="45"/>
    <m/>
    <n v="0"/>
  </r>
  <r>
    <s v="USR-100631"/>
    <d v="2025-04-08T00:00:00"/>
    <x v="0"/>
    <x v="2"/>
    <x v="0"/>
    <x v="1"/>
    <s v="Premium"/>
    <n v="1"/>
    <n v="1"/>
    <n v="1"/>
    <x v="0"/>
    <n v="0"/>
    <n v="0"/>
    <n v="0"/>
    <m/>
    <n v="60"/>
    <m/>
    <n v="0"/>
  </r>
  <r>
    <s v="USR-100632"/>
    <d v="2025-03-16T00:00:00"/>
    <x v="0"/>
    <x v="0"/>
    <x v="1"/>
    <x v="4"/>
    <s v="Free"/>
    <n v="1"/>
    <n v="0"/>
    <n v="0"/>
    <x v="0"/>
    <n v="0"/>
    <n v="0"/>
    <n v="0"/>
    <m/>
    <m/>
    <m/>
    <n v="0"/>
  </r>
  <r>
    <s v="USR-100633"/>
    <d v="2025-03-07T00:00:00"/>
    <x v="0"/>
    <x v="2"/>
    <x v="1"/>
    <x v="2"/>
    <s v="Free"/>
    <n v="1"/>
    <n v="0"/>
    <n v="0"/>
    <x v="0"/>
    <n v="0"/>
    <n v="0"/>
    <n v="0"/>
    <m/>
    <n v="55.5"/>
    <m/>
    <n v="0"/>
  </r>
  <r>
    <s v="USR-100634"/>
    <d v="2025-03-16T00:00:00"/>
    <x v="0"/>
    <x v="3"/>
    <x v="1"/>
    <x v="3"/>
    <s v="Basic"/>
    <n v="0"/>
    <n v="0"/>
    <n v="0"/>
    <x v="0"/>
    <n v="0"/>
    <n v="0"/>
    <n v="0"/>
    <m/>
    <n v="51.8"/>
    <m/>
    <n v="0"/>
  </r>
  <r>
    <s v="USR-100635"/>
    <d v="2025-05-26T00:00:00"/>
    <x v="0"/>
    <x v="2"/>
    <x v="1"/>
    <x v="5"/>
    <s v="Premium"/>
    <n v="1"/>
    <n v="0"/>
    <n v="0"/>
    <x v="0"/>
    <n v="0"/>
    <n v="3"/>
    <n v="0"/>
    <m/>
    <n v="56"/>
    <m/>
    <n v="1"/>
  </r>
  <r>
    <s v="USR-100636"/>
    <d v="2025-01-14T00:00:00"/>
    <x v="0"/>
    <x v="1"/>
    <x v="1"/>
    <x v="1"/>
    <s v="Free"/>
    <n v="0"/>
    <n v="0"/>
    <n v="0"/>
    <x v="0"/>
    <n v="0"/>
    <n v="0"/>
    <n v="0"/>
    <m/>
    <n v="52.5"/>
    <m/>
    <n v="0"/>
  </r>
  <r>
    <s v="USR-100637"/>
    <d v="2025-03-30T00:00:00"/>
    <x v="0"/>
    <x v="1"/>
    <x v="1"/>
    <x v="2"/>
    <s v="Premium"/>
    <n v="1"/>
    <n v="0"/>
    <n v="0"/>
    <x v="0"/>
    <n v="0"/>
    <n v="0"/>
    <n v="0"/>
    <m/>
    <n v="42.5"/>
    <m/>
    <n v="0"/>
  </r>
  <r>
    <s v="USR-100638"/>
    <d v="2025-05-12T00:00:00"/>
    <x v="0"/>
    <x v="2"/>
    <x v="0"/>
    <x v="0"/>
    <s v="Free"/>
    <n v="1"/>
    <n v="1"/>
    <n v="1"/>
    <x v="0"/>
    <n v="0"/>
    <n v="0"/>
    <n v="0"/>
    <m/>
    <n v="65.3"/>
    <m/>
    <n v="0"/>
  </r>
  <r>
    <s v="USR-100639"/>
    <d v="2025-05-10T00:00:00"/>
    <x v="0"/>
    <x v="1"/>
    <x v="1"/>
    <x v="2"/>
    <s v="Free"/>
    <n v="0"/>
    <n v="0"/>
    <n v="0"/>
    <x v="0"/>
    <n v="0"/>
    <n v="0"/>
    <n v="0"/>
    <m/>
    <n v="37.6"/>
    <m/>
    <n v="0"/>
  </r>
  <r>
    <s v="USR-100640"/>
    <d v="2025-04-09T00:00:00"/>
    <x v="0"/>
    <x v="2"/>
    <x v="1"/>
    <x v="4"/>
    <s v="Basic"/>
    <n v="0"/>
    <n v="0"/>
    <n v="0"/>
    <x v="0"/>
    <n v="0"/>
    <n v="0"/>
    <n v="0"/>
    <m/>
    <n v="57.8"/>
    <m/>
    <n v="0"/>
  </r>
  <r>
    <s v="USR-100641"/>
    <d v="2025-05-26T00:00:00"/>
    <x v="0"/>
    <x v="0"/>
    <x v="1"/>
    <x v="4"/>
    <s v="Free"/>
    <n v="1"/>
    <n v="0"/>
    <n v="0"/>
    <x v="0"/>
    <n v="0"/>
    <n v="0"/>
    <n v="0"/>
    <m/>
    <n v="52.7"/>
    <m/>
    <n v="0"/>
  </r>
  <r>
    <s v="USR-100642"/>
    <d v="2025-02-12T00:00:00"/>
    <x v="0"/>
    <x v="0"/>
    <x v="1"/>
    <x v="1"/>
    <s v="Free"/>
    <n v="1"/>
    <n v="0"/>
    <n v="0"/>
    <x v="0"/>
    <n v="0"/>
    <n v="0"/>
    <n v="0"/>
    <m/>
    <n v="51.7"/>
    <m/>
    <n v="0"/>
  </r>
  <r>
    <s v="USR-100643"/>
    <d v="2025-04-01T00:00:00"/>
    <x v="0"/>
    <x v="0"/>
    <x v="0"/>
    <x v="0"/>
    <s v="Basic"/>
    <n v="0"/>
    <n v="0"/>
    <n v="0"/>
    <x v="0"/>
    <n v="0"/>
    <n v="0"/>
    <n v="0"/>
    <m/>
    <n v="57"/>
    <m/>
    <n v="0"/>
  </r>
  <r>
    <s v="USR-100644"/>
    <d v="2025-01-18T00:00:00"/>
    <x v="0"/>
    <x v="3"/>
    <x v="0"/>
    <x v="1"/>
    <s v="Basic"/>
    <n v="0"/>
    <n v="0"/>
    <n v="0"/>
    <x v="0"/>
    <n v="0"/>
    <n v="0"/>
    <n v="0"/>
    <m/>
    <n v="39.5"/>
    <m/>
    <n v="0"/>
  </r>
  <r>
    <s v="USR-100645"/>
    <d v="2025-04-06T00:00:00"/>
    <x v="0"/>
    <x v="2"/>
    <x v="2"/>
    <x v="1"/>
    <s v="Free"/>
    <n v="1"/>
    <n v="0"/>
    <n v="0"/>
    <x v="0"/>
    <n v="0"/>
    <n v="0"/>
    <n v="0"/>
    <m/>
    <n v="76.5"/>
    <m/>
    <n v="0"/>
  </r>
  <r>
    <s v="USR-100646"/>
    <d v="2025-04-17T00:00:00"/>
    <x v="0"/>
    <x v="2"/>
    <x v="1"/>
    <x v="1"/>
    <s v="Free"/>
    <n v="1"/>
    <n v="0"/>
    <n v="0"/>
    <x v="0"/>
    <n v="0"/>
    <n v="0"/>
    <n v="0"/>
    <m/>
    <n v="32.4"/>
    <m/>
    <n v="0"/>
  </r>
  <r>
    <s v="USR-100647"/>
    <d v="2025-02-07T00:00:00"/>
    <x v="0"/>
    <x v="0"/>
    <x v="0"/>
    <x v="2"/>
    <s v="Free"/>
    <n v="0"/>
    <n v="0"/>
    <n v="0"/>
    <x v="0"/>
    <n v="0"/>
    <n v="0"/>
    <n v="0"/>
    <m/>
    <n v="58.6"/>
    <m/>
    <n v="0"/>
  </r>
  <r>
    <s v="USR-100648"/>
    <d v="2025-03-04T00:00:00"/>
    <x v="0"/>
    <x v="2"/>
    <x v="1"/>
    <x v="1"/>
    <s v="Basic"/>
    <n v="1"/>
    <n v="0"/>
    <n v="0"/>
    <x v="0"/>
    <n v="0"/>
    <n v="0"/>
    <n v="0"/>
    <m/>
    <n v="78.599999999999994"/>
    <m/>
    <n v="0"/>
  </r>
  <r>
    <s v="USR-100649"/>
    <d v="2025-02-17T00:00:00"/>
    <x v="0"/>
    <x v="0"/>
    <x v="0"/>
    <x v="1"/>
    <s v="Premium"/>
    <n v="0"/>
    <n v="0"/>
    <n v="0"/>
    <x v="0"/>
    <n v="0"/>
    <n v="0"/>
    <n v="0"/>
    <m/>
    <n v="54.5"/>
    <m/>
    <n v="0"/>
  </r>
  <r>
    <s v="USR-100650"/>
    <d v="2025-05-06T00:00:00"/>
    <x v="0"/>
    <x v="3"/>
    <x v="1"/>
    <x v="3"/>
    <s v="Free"/>
    <n v="1"/>
    <n v="0"/>
    <n v="0"/>
    <x v="0"/>
    <n v="0"/>
    <n v="0"/>
    <n v="0"/>
    <m/>
    <n v="57.6"/>
    <m/>
    <n v="0"/>
  </r>
  <r>
    <s v="USR-100651"/>
    <d v="2025-03-25T00:00:00"/>
    <x v="0"/>
    <x v="3"/>
    <x v="1"/>
    <x v="3"/>
    <s v="Premium"/>
    <n v="0"/>
    <n v="0"/>
    <n v="0"/>
    <x v="0"/>
    <n v="0"/>
    <n v="0"/>
    <n v="0"/>
    <m/>
    <n v="52.8"/>
    <m/>
    <n v="0"/>
  </r>
  <r>
    <s v="USR-100652"/>
    <d v="2025-03-04T00:00:00"/>
    <x v="0"/>
    <x v="1"/>
    <x v="1"/>
    <x v="0"/>
    <s v="Premium"/>
    <n v="1"/>
    <n v="0"/>
    <n v="0"/>
    <x v="0"/>
    <n v="0"/>
    <n v="0"/>
    <n v="0"/>
    <m/>
    <n v="52.9"/>
    <m/>
    <n v="0"/>
  </r>
  <r>
    <s v="USR-100653"/>
    <d v="2025-05-09T00:00:00"/>
    <x v="0"/>
    <x v="1"/>
    <x v="1"/>
    <x v="1"/>
    <s v="Free"/>
    <n v="1"/>
    <n v="0"/>
    <n v="0"/>
    <x v="0"/>
    <n v="0"/>
    <n v="1"/>
    <n v="0"/>
    <m/>
    <n v="55.9"/>
    <m/>
    <n v="1"/>
  </r>
  <r>
    <s v="USR-100654"/>
    <d v="2025-05-17T00:00:00"/>
    <x v="0"/>
    <x v="1"/>
    <x v="1"/>
    <x v="3"/>
    <s v="Premium"/>
    <n v="1"/>
    <n v="0"/>
    <n v="0"/>
    <x v="0"/>
    <n v="0"/>
    <n v="0"/>
    <n v="0"/>
    <m/>
    <n v="74.2"/>
    <m/>
    <n v="0"/>
  </r>
  <r>
    <s v="USR-100655"/>
    <d v="2025-01-12T00:00:00"/>
    <x v="0"/>
    <x v="1"/>
    <x v="1"/>
    <x v="1"/>
    <s v="Free"/>
    <n v="0"/>
    <n v="0"/>
    <n v="0"/>
    <x v="0"/>
    <n v="0"/>
    <n v="0"/>
    <n v="0"/>
    <m/>
    <n v="46.3"/>
    <m/>
    <n v="0"/>
  </r>
  <r>
    <s v="USR-100656"/>
    <d v="2025-03-12T00:00:00"/>
    <x v="0"/>
    <x v="1"/>
    <x v="1"/>
    <x v="1"/>
    <s v="Premium"/>
    <n v="1"/>
    <n v="0"/>
    <n v="0"/>
    <x v="0"/>
    <n v="0"/>
    <n v="0"/>
    <n v="0"/>
    <m/>
    <n v="62"/>
    <m/>
    <n v="0"/>
  </r>
  <r>
    <s v="USR-100657"/>
    <d v="2025-04-02T00:00:00"/>
    <x v="0"/>
    <x v="3"/>
    <x v="1"/>
    <x v="1"/>
    <s v="Basic"/>
    <n v="0"/>
    <n v="0"/>
    <n v="0"/>
    <x v="0"/>
    <n v="0"/>
    <n v="0"/>
    <n v="0"/>
    <m/>
    <n v="55.6"/>
    <m/>
    <n v="0"/>
  </r>
  <r>
    <s v="USR-100658"/>
    <d v="2025-01-13T00:00:00"/>
    <x v="0"/>
    <x v="3"/>
    <x v="1"/>
    <x v="1"/>
    <s v="Basic"/>
    <n v="1"/>
    <n v="0"/>
    <n v="0"/>
    <x v="0"/>
    <n v="0"/>
    <n v="0"/>
    <n v="0"/>
    <m/>
    <n v="62.8"/>
    <m/>
    <n v="0"/>
  </r>
  <r>
    <s v="USR-100659"/>
    <d v="2025-03-07T00:00:00"/>
    <x v="0"/>
    <x v="2"/>
    <x v="1"/>
    <x v="3"/>
    <s v="Free"/>
    <n v="0"/>
    <n v="0"/>
    <n v="0"/>
    <x v="0"/>
    <n v="0"/>
    <n v="0"/>
    <n v="0"/>
    <m/>
    <n v="73.099999999999994"/>
    <m/>
    <n v="0"/>
  </r>
  <r>
    <s v="USR-100660"/>
    <d v="2025-04-20T00:00:00"/>
    <x v="0"/>
    <x v="3"/>
    <x v="0"/>
    <x v="4"/>
    <s v="Free"/>
    <n v="1"/>
    <n v="1"/>
    <n v="1"/>
    <x v="1"/>
    <n v="347.52"/>
    <n v="0"/>
    <n v="0"/>
    <n v="2"/>
    <n v="57.2"/>
    <m/>
    <n v="0"/>
  </r>
  <r>
    <s v="USR-100661"/>
    <d v="2025-01-07T00:00:00"/>
    <x v="0"/>
    <x v="3"/>
    <x v="1"/>
    <x v="2"/>
    <s v="Free"/>
    <n v="1"/>
    <n v="0"/>
    <n v="0"/>
    <x v="0"/>
    <n v="0"/>
    <n v="0"/>
    <n v="0"/>
    <m/>
    <n v="67.900000000000006"/>
    <m/>
    <n v="0"/>
  </r>
  <r>
    <s v="USR-100662"/>
    <d v="2025-04-23T00:00:00"/>
    <x v="0"/>
    <x v="3"/>
    <x v="1"/>
    <x v="3"/>
    <s v="Free"/>
    <n v="0"/>
    <n v="0"/>
    <n v="0"/>
    <x v="0"/>
    <n v="0"/>
    <n v="0"/>
    <n v="0"/>
    <m/>
    <n v="50.1"/>
    <m/>
    <n v="0"/>
  </r>
  <r>
    <s v="USR-100663"/>
    <d v="2025-05-26T00:00:00"/>
    <x v="0"/>
    <x v="0"/>
    <x v="1"/>
    <x v="2"/>
    <s v="Basic"/>
    <n v="0"/>
    <n v="0"/>
    <n v="0"/>
    <x v="0"/>
    <n v="0"/>
    <n v="0"/>
    <n v="0"/>
    <m/>
    <n v="67.8"/>
    <m/>
    <n v="0"/>
  </r>
  <r>
    <s v="USR-100664"/>
    <d v="2025-03-17T00:00:00"/>
    <x v="0"/>
    <x v="0"/>
    <x v="0"/>
    <x v="4"/>
    <s v="Basic"/>
    <n v="1"/>
    <n v="1"/>
    <n v="1"/>
    <x v="0"/>
    <n v="0"/>
    <n v="0"/>
    <n v="0"/>
    <m/>
    <n v="60.8"/>
    <m/>
    <n v="0"/>
  </r>
  <r>
    <s v="USR-100665"/>
    <d v="2025-05-17T00:00:00"/>
    <x v="0"/>
    <x v="0"/>
    <x v="0"/>
    <x v="2"/>
    <s v="Basic"/>
    <n v="1"/>
    <n v="0"/>
    <n v="0"/>
    <x v="0"/>
    <n v="0"/>
    <n v="3"/>
    <n v="0"/>
    <m/>
    <n v="33.700000000000003"/>
    <m/>
    <n v="1"/>
  </r>
  <r>
    <s v="USR-100666"/>
    <d v="2025-02-21T00:00:00"/>
    <x v="0"/>
    <x v="0"/>
    <x v="1"/>
    <x v="2"/>
    <s v="Basic"/>
    <n v="0"/>
    <n v="0"/>
    <n v="0"/>
    <x v="0"/>
    <n v="0"/>
    <n v="0"/>
    <n v="0"/>
    <m/>
    <n v="45.2"/>
    <m/>
    <n v="0"/>
  </r>
  <r>
    <s v="USR-100667"/>
    <d v="2025-02-25T00:00:00"/>
    <x v="0"/>
    <x v="2"/>
    <x v="0"/>
    <x v="2"/>
    <s v="Premium"/>
    <n v="0"/>
    <n v="0"/>
    <n v="0"/>
    <x v="0"/>
    <n v="0"/>
    <n v="0"/>
    <n v="0"/>
    <m/>
    <n v="48.2"/>
    <m/>
    <n v="0"/>
  </r>
  <r>
    <s v="USR-100668"/>
    <d v="2025-01-30T00:00:00"/>
    <x v="0"/>
    <x v="3"/>
    <x v="1"/>
    <x v="4"/>
    <s v="Free"/>
    <n v="1"/>
    <n v="1"/>
    <n v="0"/>
    <x v="0"/>
    <n v="0"/>
    <n v="1"/>
    <n v="0"/>
    <m/>
    <n v="44.8"/>
    <m/>
    <n v="1"/>
  </r>
  <r>
    <s v="USR-100669"/>
    <d v="2025-02-17T00:00:00"/>
    <x v="0"/>
    <x v="0"/>
    <x v="2"/>
    <x v="4"/>
    <s v="Basic"/>
    <n v="0"/>
    <n v="0"/>
    <n v="0"/>
    <x v="0"/>
    <n v="0"/>
    <n v="0"/>
    <n v="0"/>
    <m/>
    <n v="52.1"/>
    <m/>
    <n v="0"/>
  </r>
  <r>
    <s v="USR-100670"/>
    <d v="2025-05-17T00:00:00"/>
    <x v="0"/>
    <x v="0"/>
    <x v="0"/>
    <x v="2"/>
    <s v="Basic"/>
    <n v="1"/>
    <n v="0"/>
    <n v="0"/>
    <x v="0"/>
    <n v="0"/>
    <n v="0"/>
    <n v="0"/>
    <m/>
    <n v="30.7"/>
    <m/>
    <n v="0"/>
  </r>
  <r>
    <s v="USR-100671"/>
    <d v="2025-04-30T00:00:00"/>
    <x v="0"/>
    <x v="2"/>
    <x v="0"/>
    <x v="2"/>
    <s v="Free"/>
    <n v="1"/>
    <n v="0"/>
    <n v="0"/>
    <x v="0"/>
    <n v="0"/>
    <n v="0"/>
    <n v="0"/>
    <m/>
    <n v="58.4"/>
    <m/>
    <n v="0"/>
  </r>
  <r>
    <s v="USR-100672"/>
    <d v="2025-03-22T00:00:00"/>
    <x v="0"/>
    <x v="1"/>
    <x v="1"/>
    <x v="3"/>
    <s v="Free"/>
    <n v="1"/>
    <n v="1"/>
    <n v="0"/>
    <x v="0"/>
    <n v="0"/>
    <n v="0"/>
    <n v="0"/>
    <m/>
    <n v="52.6"/>
    <m/>
    <n v="0"/>
  </r>
  <r>
    <s v="USR-100673"/>
    <d v="2025-01-10T00:00:00"/>
    <x v="0"/>
    <x v="1"/>
    <x v="3"/>
    <x v="2"/>
    <s v="Free"/>
    <n v="1"/>
    <n v="0"/>
    <n v="0"/>
    <x v="0"/>
    <n v="0"/>
    <n v="1"/>
    <n v="0"/>
    <m/>
    <n v="19.100000000000001"/>
    <m/>
    <n v="1"/>
  </r>
  <r>
    <s v="USR-100674"/>
    <d v="2025-03-21T00:00:00"/>
    <x v="0"/>
    <x v="3"/>
    <x v="3"/>
    <x v="2"/>
    <s v="Free"/>
    <n v="1"/>
    <n v="0"/>
    <n v="0"/>
    <x v="0"/>
    <n v="0"/>
    <n v="0"/>
    <n v="0"/>
    <m/>
    <n v="36.799999999999997"/>
    <m/>
    <n v="0"/>
  </r>
  <r>
    <s v="USR-100675"/>
    <d v="2025-05-12T00:00:00"/>
    <x v="0"/>
    <x v="0"/>
    <x v="0"/>
    <x v="2"/>
    <s v="Basic"/>
    <n v="0"/>
    <n v="0"/>
    <n v="0"/>
    <x v="0"/>
    <n v="0"/>
    <n v="0"/>
    <n v="0"/>
    <m/>
    <n v="68.5"/>
    <m/>
    <n v="0"/>
  </r>
  <r>
    <s v="USR-100676"/>
    <d v="2025-05-24T00:00:00"/>
    <x v="0"/>
    <x v="1"/>
    <x v="1"/>
    <x v="2"/>
    <s v="Free"/>
    <n v="1"/>
    <n v="1"/>
    <n v="1"/>
    <x v="0"/>
    <n v="0"/>
    <n v="0"/>
    <n v="0"/>
    <m/>
    <n v="40.1"/>
    <m/>
    <n v="0"/>
  </r>
  <r>
    <s v="USR-100677"/>
    <d v="2025-05-03T00:00:00"/>
    <x v="0"/>
    <x v="1"/>
    <x v="2"/>
    <x v="1"/>
    <s v="Free"/>
    <n v="1"/>
    <n v="0"/>
    <n v="0"/>
    <x v="0"/>
    <n v="0"/>
    <n v="0"/>
    <n v="0"/>
    <m/>
    <n v="47.5"/>
    <m/>
    <n v="0"/>
  </r>
  <r>
    <s v="USR-100678"/>
    <d v="2025-01-14T00:00:00"/>
    <x v="0"/>
    <x v="3"/>
    <x v="1"/>
    <x v="1"/>
    <s v="Basic"/>
    <n v="1"/>
    <n v="0"/>
    <n v="0"/>
    <x v="0"/>
    <n v="0"/>
    <n v="0"/>
    <n v="0"/>
    <m/>
    <n v="77.099999999999994"/>
    <m/>
    <n v="0"/>
  </r>
  <r>
    <s v="USR-100679"/>
    <d v="2025-03-27T00:00:00"/>
    <x v="0"/>
    <x v="1"/>
    <x v="1"/>
    <x v="4"/>
    <s v="Basic"/>
    <n v="1"/>
    <n v="0"/>
    <n v="0"/>
    <x v="0"/>
    <n v="0"/>
    <n v="0"/>
    <n v="0"/>
    <m/>
    <n v="75.900000000000006"/>
    <m/>
    <n v="0"/>
  </r>
  <r>
    <s v="USR-100680"/>
    <d v="2025-02-28T00:00:00"/>
    <x v="0"/>
    <x v="0"/>
    <x v="0"/>
    <x v="3"/>
    <s v="Premium"/>
    <n v="0"/>
    <n v="0"/>
    <n v="0"/>
    <x v="0"/>
    <n v="0"/>
    <n v="1"/>
    <n v="0"/>
    <m/>
    <n v="52"/>
    <m/>
    <n v="1"/>
  </r>
  <r>
    <s v="USR-100681"/>
    <d v="2025-05-12T00:00:00"/>
    <x v="0"/>
    <x v="1"/>
    <x v="0"/>
    <x v="3"/>
    <s v="Premium"/>
    <n v="1"/>
    <n v="1"/>
    <n v="1"/>
    <x v="0"/>
    <n v="0"/>
    <n v="0"/>
    <n v="0"/>
    <m/>
    <n v="64.900000000000006"/>
    <m/>
    <n v="0"/>
  </r>
  <r>
    <s v="USR-100682"/>
    <d v="2025-03-14T00:00:00"/>
    <x v="0"/>
    <x v="0"/>
    <x v="1"/>
    <x v="1"/>
    <s v="Free"/>
    <n v="1"/>
    <n v="0"/>
    <n v="0"/>
    <x v="0"/>
    <n v="0"/>
    <n v="0"/>
    <n v="0"/>
    <m/>
    <n v="48.2"/>
    <m/>
    <n v="0"/>
  </r>
  <r>
    <s v="USR-100683"/>
    <d v="2025-05-20T00:00:00"/>
    <x v="0"/>
    <x v="2"/>
    <x v="1"/>
    <x v="1"/>
    <s v="Basic"/>
    <n v="0"/>
    <n v="0"/>
    <n v="0"/>
    <x v="0"/>
    <n v="0"/>
    <n v="0"/>
    <n v="0"/>
    <m/>
    <n v="42.1"/>
    <m/>
    <n v="0"/>
  </r>
  <r>
    <s v="USR-100684"/>
    <d v="2025-02-24T00:00:00"/>
    <x v="0"/>
    <x v="3"/>
    <x v="0"/>
    <x v="3"/>
    <s v="Free"/>
    <n v="0"/>
    <n v="0"/>
    <n v="0"/>
    <x v="0"/>
    <n v="0"/>
    <n v="0"/>
    <n v="0"/>
    <m/>
    <n v="27.6"/>
    <m/>
    <n v="0"/>
  </r>
  <r>
    <s v="USR-100685"/>
    <d v="2025-02-13T00:00:00"/>
    <x v="0"/>
    <x v="1"/>
    <x v="1"/>
    <x v="1"/>
    <s v="Premium"/>
    <n v="1"/>
    <n v="0"/>
    <n v="0"/>
    <x v="0"/>
    <n v="0"/>
    <n v="1"/>
    <n v="0"/>
    <m/>
    <n v="68.5"/>
    <m/>
    <n v="1"/>
  </r>
  <r>
    <s v="USR-100686"/>
    <d v="2025-02-06T00:00:00"/>
    <x v="0"/>
    <x v="3"/>
    <x v="0"/>
    <x v="1"/>
    <s v="Free"/>
    <n v="1"/>
    <n v="1"/>
    <n v="1"/>
    <x v="0"/>
    <n v="0"/>
    <n v="0"/>
    <n v="0"/>
    <m/>
    <n v="59.2"/>
    <m/>
    <n v="0"/>
  </r>
  <r>
    <s v="USR-100687"/>
    <d v="2025-03-02T00:00:00"/>
    <x v="0"/>
    <x v="0"/>
    <x v="1"/>
    <x v="4"/>
    <s v="Basic"/>
    <n v="1"/>
    <n v="0"/>
    <n v="0"/>
    <x v="0"/>
    <n v="0"/>
    <n v="0"/>
    <n v="0"/>
    <m/>
    <n v="63.3"/>
    <m/>
    <n v="0"/>
  </r>
  <r>
    <s v="USR-100688"/>
    <d v="2025-04-28T00:00:00"/>
    <x v="0"/>
    <x v="2"/>
    <x v="0"/>
    <x v="2"/>
    <s v="Free"/>
    <n v="0"/>
    <n v="0"/>
    <n v="0"/>
    <x v="0"/>
    <n v="0"/>
    <n v="0"/>
    <n v="0"/>
    <m/>
    <n v="55"/>
    <m/>
    <n v="0"/>
  </r>
  <r>
    <s v="USR-100689"/>
    <d v="2025-05-27T00:00:00"/>
    <x v="0"/>
    <x v="0"/>
    <x v="0"/>
    <x v="5"/>
    <s v="Premium"/>
    <n v="1"/>
    <n v="0"/>
    <n v="0"/>
    <x v="0"/>
    <n v="0"/>
    <n v="0"/>
    <n v="0"/>
    <m/>
    <n v="64.8"/>
    <m/>
    <n v="0"/>
  </r>
  <r>
    <s v="USR-100690"/>
    <d v="2025-04-07T00:00:00"/>
    <x v="0"/>
    <x v="3"/>
    <x v="0"/>
    <x v="1"/>
    <s v="Basic"/>
    <n v="0"/>
    <n v="0"/>
    <n v="0"/>
    <x v="0"/>
    <n v="0"/>
    <n v="2"/>
    <n v="0"/>
    <m/>
    <n v="41.8"/>
    <m/>
    <n v="1"/>
  </r>
  <r>
    <s v="USR-100691"/>
    <d v="2025-04-14T00:00:00"/>
    <x v="1"/>
    <x v="2"/>
    <x v="0"/>
    <x v="4"/>
    <s v="Basic"/>
    <n v="1"/>
    <n v="0"/>
    <n v="0"/>
    <x v="0"/>
    <n v="0"/>
    <n v="0"/>
    <n v="0"/>
    <m/>
    <n v="73.2"/>
    <m/>
    <n v="0"/>
  </r>
  <r>
    <s v="USR-100692"/>
    <d v="2025-05-09T00:00:00"/>
    <x v="1"/>
    <x v="2"/>
    <x v="0"/>
    <x v="1"/>
    <s v="Basic"/>
    <n v="1"/>
    <n v="1"/>
    <n v="1"/>
    <x v="0"/>
    <n v="0"/>
    <n v="3"/>
    <n v="0"/>
    <m/>
    <n v="55.7"/>
    <m/>
    <n v="1"/>
  </r>
  <r>
    <s v="USR-100693"/>
    <d v="2025-03-21T00:00:00"/>
    <x v="1"/>
    <x v="0"/>
    <x v="1"/>
    <x v="1"/>
    <s v="Free"/>
    <n v="1"/>
    <n v="1"/>
    <n v="1"/>
    <x v="0"/>
    <n v="0"/>
    <n v="0"/>
    <n v="0"/>
    <m/>
    <n v="82.8"/>
    <m/>
    <n v="0"/>
  </r>
  <r>
    <s v="USR-100694"/>
    <d v="2025-03-27T00:00:00"/>
    <x v="1"/>
    <x v="0"/>
    <x v="0"/>
    <x v="4"/>
    <s v="Free"/>
    <n v="1"/>
    <n v="0"/>
    <n v="0"/>
    <x v="0"/>
    <n v="0"/>
    <n v="0"/>
    <n v="0"/>
    <m/>
    <m/>
    <m/>
    <n v="0"/>
  </r>
  <r>
    <s v="USR-100695"/>
    <d v="2025-01-21T00:00:00"/>
    <x v="1"/>
    <x v="3"/>
    <x v="1"/>
    <x v="2"/>
    <s v="Free"/>
    <n v="0"/>
    <n v="0"/>
    <n v="0"/>
    <x v="0"/>
    <n v="0"/>
    <n v="0"/>
    <n v="0"/>
    <m/>
    <n v="34.4"/>
    <m/>
    <n v="0"/>
  </r>
  <r>
    <s v="USR-100696"/>
    <d v="2025-03-19T00:00:00"/>
    <x v="1"/>
    <x v="2"/>
    <x v="0"/>
    <x v="0"/>
    <s v="Free"/>
    <n v="1"/>
    <n v="0"/>
    <n v="0"/>
    <x v="0"/>
    <n v="0"/>
    <n v="0"/>
    <n v="0"/>
    <m/>
    <n v="45.2"/>
    <m/>
    <n v="0"/>
  </r>
  <r>
    <s v="USR-100697"/>
    <d v="2025-05-27T00:00:00"/>
    <x v="1"/>
    <x v="0"/>
    <x v="1"/>
    <x v="1"/>
    <s v="Basic"/>
    <n v="1"/>
    <n v="0"/>
    <n v="0"/>
    <x v="0"/>
    <n v="0"/>
    <n v="0"/>
    <n v="0"/>
    <m/>
    <n v="71.599999999999994"/>
    <m/>
    <n v="0"/>
  </r>
  <r>
    <s v="USR-100698"/>
    <d v="2025-01-01T00:00:00"/>
    <x v="1"/>
    <x v="0"/>
    <x v="1"/>
    <x v="4"/>
    <s v="Free"/>
    <n v="1"/>
    <n v="1"/>
    <n v="1"/>
    <x v="0"/>
    <n v="0"/>
    <n v="0"/>
    <n v="0"/>
    <m/>
    <n v="69.099999999999994"/>
    <m/>
    <n v="0"/>
  </r>
  <r>
    <s v="USR-100699"/>
    <d v="2025-03-29T00:00:00"/>
    <x v="1"/>
    <x v="1"/>
    <x v="0"/>
    <x v="2"/>
    <s v="Premium"/>
    <n v="1"/>
    <n v="0"/>
    <n v="0"/>
    <x v="0"/>
    <n v="0"/>
    <n v="1"/>
    <n v="0"/>
    <m/>
    <n v="37.700000000000003"/>
    <m/>
    <n v="1"/>
  </r>
  <r>
    <s v="USR-100700"/>
    <d v="2025-03-17T00:00:00"/>
    <x v="1"/>
    <x v="1"/>
    <x v="0"/>
    <x v="1"/>
    <s v="Basic"/>
    <n v="1"/>
    <n v="0"/>
    <n v="0"/>
    <x v="0"/>
    <n v="0"/>
    <n v="1"/>
    <n v="0"/>
    <m/>
    <n v="60.8"/>
    <m/>
    <n v="1"/>
  </r>
  <r>
    <s v="USR-100701"/>
    <d v="2025-05-05T00:00:00"/>
    <x v="1"/>
    <x v="0"/>
    <x v="1"/>
    <x v="1"/>
    <s v="Free"/>
    <n v="1"/>
    <n v="1"/>
    <n v="1"/>
    <x v="1"/>
    <n v="444.13"/>
    <n v="0"/>
    <n v="0"/>
    <n v="10"/>
    <n v="80.7"/>
    <m/>
    <n v="0"/>
  </r>
  <r>
    <s v="USR-100702"/>
    <d v="2025-05-04T00:00:00"/>
    <x v="1"/>
    <x v="3"/>
    <x v="1"/>
    <x v="4"/>
    <s v="Free"/>
    <n v="1"/>
    <n v="0"/>
    <n v="0"/>
    <x v="0"/>
    <n v="0"/>
    <n v="0"/>
    <n v="0"/>
    <m/>
    <n v="69.2"/>
    <m/>
    <n v="0"/>
  </r>
  <r>
    <s v="USR-100703"/>
    <d v="2025-03-25T00:00:00"/>
    <x v="1"/>
    <x v="0"/>
    <x v="1"/>
    <x v="4"/>
    <s v="Premium"/>
    <n v="0"/>
    <n v="0"/>
    <n v="0"/>
    <x v="0"/>
    <n v="0"/>
    <n v="3"/>
    <n v="0"/>
    <m/>
    <n v="55"/>
    <m/>
    <n v="1"/>
  </r>
  <r>
    <s v="USR-100704"/>
    <d v="2025-04-17T00:00:00"/>
    <x v="1"/>
    <x v="1"/>
    <x v="1"/>
    <x v="0"/>
    <s v="Free"/>
    <n v="0"/>
    <n v="0"/>
    <n v="0"/>
    <x v="0"/>
    <n v="0"/>
    <n v="1"/>
    <n v="0"/>
    <m/>
    <n v="73.599999999999994"/>
    <m/>
    <n v="1"/>
  </r>
  <r>
    <s v="USR-100705"/>
    <d v="2025-05-23T00:00:00"/>
    <x v="1"/>
    <x v="3"/>
    <x v="1"/>
    <x v="3"/>
    <s v="Basic"/>
    <n v="1"/>
    <n v="1"/>
    <n v="1"/>
    <x v="0"/>
    <n v="0"/>
    <n v="1"/>
    <n v="0"/>
    <m/>
    <n v="47.3"/>
    <m/>
    <n v="1"/>
  </r>
  <r>
    <s v="USR-100706"/>
    <d v="2025-01-13T00:00:00"/>
    <x v="1"/>
    <x v="0"/>
    <x v="1"/>
    <x v="1"/>
    <s v="Basic"/>
    <n v="0"/>
    <n v="0"/>
    <n v="0"/>
    <x v="0"/>
    <n v="0"/>
    <n v="0"/>
    <n v="0"/>
    <m/>
    <n v="43.6"/>
    <m/>
    <n v="0"/>
  </r>
  <r>
    <s v="USR-100707"/>
    <d v="2025-01-29T00:00:00"/>
    <x v="1"/>
    <x v="0"/>
    <x v="0"/>
    <x v="1"/>
    <s v="Basic"/>
    <n v="1"/>
    <n v="0"/>
    <n v="0"/>
    <x v="0"/>
    <n v="0"/>
    <n v="0"/>
    <n v="0"/>
    <m/>
    <m/>
    <m/>
    <n v="0"/>
  </r>
  <r>
    <s v="USR-100708"/>
    <d v="2025-05-11T00:00:00"/>
    <x v="1"/>
    <x v="3"/>
    <x v="1"/>
    <x v="0"/>
    <s v="Free"/>
    <n v="0"/>
    <n v="0"/>
    <n v="0"/>
    <x v="0"/>
    <n v="0"/>
    <n v="0"/>
    <n v="0"/>
    <m/>
    <n v="55.2"/>
    <m/>
    <n v="0"/>
  </r>
  <r>
    <s v="USR-100709"/>
    <d v="2025-04-22T00:00:00"/>
    <x v="1"/>
    <x v="3"/>
    <x v="1"/>
    <x v="1"/>
    <s v="Basic"/>
    <n v="1"/>
    <n v="0"/>
    <n v="0"/>
    <x v="0"/>
    <n v="0"/>
    <n v="0"/>
    <n v="0"/>
    <m/>
    <n v="49.4"/>
    <m/>
    <n v="0"/>
  </r>
  <r>
    <s v="USR-100710"/>
    <d v="2025-03-03T00:00:00"/>
    <x v="1"/>
    <x v="3"/>
    <x v="1"/>
    <x v="4"/>
    <s v="Free"/>
    <n v="1"/>
    <n v="1"/>
    <n v="1"/>
    <x v="0"/>
    <n v="0"/>
    <n v="1"/>
    <n v="0"/>
    <m/>
    <n v="60.1"/>
    <m/>
    <n v="1"/>
  </r>
  <r>
    <s v="USR-100711"/>
    <d v="2025-03-18T00:00:00"/>
    <x v="1"/>
    <x v="0"/>
    <x v="1"/>
    <x v="3"/>
    <s v="Free"/>
    <n v="1"/>
    <n v="0"/>
    <n v="0"/>
    <x v="0"/>
    <n v="0"/>
    <n v="0"/>
    <n v="0"/>
    <m/>
    <n v="55.9"/>
    <m/>
    <n v="0"/>
  </r>
  <r>
    <s v="USR-100712"/>
    <d v="2025-04-05T00:00:00"/>
    <x v="1"/>
    <x v="0"/>
    <x v="1"/>
    <x v="1"/>
    <s v="Basic"/>
    <n v="1"/>
    <n v="0"/>
    <n v="0"/>
    <x v="0"/>
    <n v="0"/>
    <n v="0"/>
    <n v="0"/>
    <m/>
    <n v="51.5"/>
    <m/>
    <n v="0"/>
  </r>
  <r>
    <s v="USR-100713"/>
    <d v="2025-04-16T00:00:00"/>
    <x v="1"/>
    <x v="2"/>
    <x v="1"/>
    <x v="1"/>
    <s v="Free"/>
    <n v="1"/>
    <n v="1"/>
    <n v="1"/>
    <x v="1"/>
    <n v="516.66999999999996"/>
    <n v="0"/>
    <n v="0"/>
    <n v="11"/>
    <n v="57.9"/>
    <m/>
    <n v="0"/>
  </r>
  <r>
    <s v="USR-100714"/>
    <d v="2025-04-20T00:00:00"/>
    <x v="1"/>
    <x v="3"/>
    <x v="1"/>
    <x v="3"/>
    <s v="Free"/>
    <n v="1"/>
    <n v="1"/>
    <n v="1"/>
    <x v="1"/>
    <n v="277.18"/>
    <n v="2"/>
    <n v="0"/>
    <n v="8"/>
    <n v="59.2"/>
    <m/>
    <n v="1"/>
  </r>
  <r>
    <s v="USR-100715"/>
    <d v="2025-02-15T00:00:00"/>
    <x v="1"/>
    <x v="3"/>
    <x v="1"/>
    <x v="1"/>
    <s v="Free"/>
    <n v="0"/>
    <n v="0"/>
    <n v="0"/>
    <x v="0"/>
    <n v="0"/>
    <n v="0"/>
    <n v="0"/>
    <m/>
    <n v="64.2"/>
    <m/>
    <n v="0"/>
  </r>
  <r>
    <s v="USR-100716"/>
    <d v="2025-01-21T00:00:00"/>
    <x v="1"/>
    <x v="3"/>
    <x v="1"/>
    <x v="1"/>
    <s v="Free"/>
    <n v="1"/>
    <n v="0"/>
    <n v="0"/>
    <x v="0"/>
    <n v="0"/>
    <n v="0"/>
    <n v="0"/>
    <m/>
    <n v="68.8"/>
    <m/>
    <n v="0"/>
  </r>
  <r>
    <s v="USR-100717"/>
    <d v="2025-05-23T00:00:00"/>
    <x v="1"/>
    <x v="0"/>
    <x v="1"/>
    <x v="2"/>
    <s v="Premium"/>
    <n v="1"/>
    <n v="1"/>
    <n v="1"/>
    <x v="0"/>
    <n v="0"/>
    <n v="0"/>
    <n v="0"/>
    <m/>
    <n v="77.900000000000006"/>
    <m/>
    <n v="0"/>
  </r>
  <r>
    <s v="USR-100718"/>
    <d v="2025-01-22T00:00:00"/>
    <x v="1"/>
    <x v="1"/>
    <x v="1"/>
    <x v="2"/>
    <s v="Basic"/>
    <n v="0"/>
    <n v="0"/>
    <n v="0"/>
    <x v="0"/>
    <n v="0"/>
    <n v="0"/>
    <n v="0"/>
    <m/>
    <n v="92.1"/>
    <m/>
    <n v="0"/>
  </r>
  <r>
    <s v="USR-100719"/>
    <d v="2025-04-24T00:00:00"/>
    <x v="1"/>
    <x v="1"/>
    <x v="1"/>
    <x v="2"/>
    <s v="Premium"/>
    <n v="0"/>
    <n v="0"/>
    <n v="0"/>
    <x v="0"/>
    <n v="0"/>
    <n v="0"/>
    <n v="0"/>
    <m/>
    <n v="63.6"/>
    <m/>
    <n v="0"/>
  </r>
  <r>
    <s v="USR-100720"/>
    <d v="2025-01-17T00:00:00"/>
    <x v="1"/>
    <x v="1"/>
    <x v="0"/>
    <x v="0"/>
    <s v="Free"/>
    <n v="0"/>
    <n v="0"/>
    <n v="0"/>
    <x v="0"/>
    <n v="0"/>
    <n v="2"/>
    <n v="0"/>
    <m/>
    <n v="61.6"/>
    <m/>
    <n v="1"/>
  </r>
  <r>
    <s v="USR-100721"/>
    <d v="2025-01-22T00:00:00"/>
    <x v="1"/>
    <x v="2"/>
    <x v="1"/>
    <x v="3"/>
    <s v="Basic"/>
    <n v="1"/>
    <n v="1"/>
    <n v="0"/>
    <x v="0"/>
    <n v="0"/>
    <n v="0"/>
    <n v="0"/>
    <m/>
    <n v="82.3"/>
    <m/>
    <n v="0"/>
  </r>
  <r>
    <s v="USR-100722"/>
    <d v="2025-05-04T00:00:00"/>
    <x v="1"/>
    <x v="2"/>
    <x v="0"/>
    <x v="2"/>
    <s v="Free"/>
    <n v="1"/>
    <n v="0"/>
    <n v="0"/>
    <x v="0"/>
    <n v="0"/>
    <n v="0"/>
    <n v="0"/>
    <m/>
    <n v="79.3"/>
    <m/>
    <n v="0"/>
  </r>
  <r>
    <s v="USR-100723"/>
    <d v="2025-03-13T00:00:00"/>
    <x v="1"/>
    <x v="3"/>
    <x v="1"/>
    <x v="5"/>
    <s v="Free"/>
    <n v="0"/>
    <n v="0"/>
    <n v="0"/>
    <x v="0"/>
    <n v="0"/>
    <n v="0"/>
    <n v="0"/>
    <m/>
    <n v="57.7"/>
    <m/>
    <n v="0"/>
  </r>
  <r>
    <s v="USR-100724"/>
    <d v="2025-01-02T00:00:00"/>
    <x v="1"/>
    <x v="0"/>
    <x v="1"/>
    <x v="1"/>
    <s v="Basic"/>
    <n v="1"/>
    <n v="0"/>
    <n v="0"/>
    <x v="0"/>
    <n v="0"/>
    <n v="0"/>
    <n v="0"/>
    <m/>
    <n v="63.1"/>
    <m/>
    <n v="0"/>
  </r>
  <r>
    <s v="USR-100725"/>
    <d v="2025-01-13T00:00:00"/>
    <x v="1"/>
    <x v="2"/>
    <x v="1"/>
    <x v="2"/>
    <s v="Basic"/>
    <n v="0"/>
    <n v="0"/>
    <n v="0"/>
    <x v="0"/>
    <n v="0"/>
    <n v="0"/>
    <n v="0"/>
    <m/>
    <n v="72.3"/>
    <m/>
    <n v="0"/>
  </r>
  <r>
    <s v="USR-100726"/>
    <d v="2025-02-09T00:00:00"/>
    <x v="1"/>
    <x v="2"/>
    <x v="1"/>
    <x v="4"/>
    <s v="Free"/>
    <n v="1"/>
    <n v="1"/>
    <n v="1"/>
    <x v="0"/>
    <n v="0"/>
    <n v="0"/>
    <n v="0"/>
    <m/>
    <n v="78"/>
    <m/>
    <n v="0"/>
  </r>
  <r>
    <s v="USR-100727"/>
    <d v="2025-04-09T00:00:00"/>
    <x v="1"/>
    <x v="2"/>
    <x v="0"/>
    <x v="4"/>
    <s v="Free"/>
    <n v="1"/>
    <n v="1"/>
    <n v="0"/>
    <x v="0"/>
    <n v="0"/>
    <n v="2"/>
    <n v="0"/>
    <m/>
    <n v="59.1"/>
    <m/>
    <n v="1"/>
  </r>
  <r>
    <s v="USR-100728"/>
    <d v="2025-01-02T00:00:00"/>
    <x v="1"/>
    <x v="3"/>
    <x v="1"/>
    <x v="2"/>
    <s v="Free"/>
    <n v="1"/>
    <n v="1"/>
    <n v="1"/>
    <x v="1"/>
    <n v="604.09"/>
    <n v="0"/>
    <n v="0"/>
    <n v="7"/>
    <n v="47.1"/>
    <m/>
    <n v="0"/>
  </r>
  <r>
    <s v="USR-100729"/>
    <d v="2025-02-04T00:00:00"/>
    <x v="1"/>
    <x v="3"/>
    <x v="1"/>
    <x v="5"/>
    <s v="Premium"/>
    <n v="1"/>
    <n v="0"/>
    <n v="0"/>
    <x v="0"/>
    <n v="0"/>
    <n v="0"/>
    <n v="0"/>
    <m/>
    <n v="64.900000000000006"/>
    <m/>
    <n v="0"/>
  </r>
  <r>
    <s v="USR-100730"/>
    <d v="2025-02-19T00:00:00"/>
    <x v="1"/>
    <x v="3"/>
    <x v="2"/>
    <x v="2"/>
    <s v="Free"/>
    <n v="0"/>
    <n v="0"/>
    <n v="0"/>
    <x v="0"/>
    <n v="0"/>
    <n v="0"/>
    <n v="0"/>
    <m/>
    <n v="67.3"/>
    <m/>
    <n v="0"/>
  </r>
  <r>
    <s v="USR-100731"/>
    <d v="2025-04-01T00:00:00"/>
    <x v="1"/>
    <x v="2"/>
    <x v="1"/>
    <x v="2"/>
    <s v="Basic"/>
    <n v="1"/>
    <n v="0"/>
    <n v="0"/>
    <x v="0"/>
    <n v="0"/>
    <n v="2"/>
    <n v="0"/>
    <m/>
    <n v="52.9"/>
    <m/>
    <n v="1"/>
  </r>
  <r>
    <s v="USR-100732"/>
    <d v="2025-01-29T00:00:00"/>
    <x v="1"/>
    <x v="0"/>
    <x v="1"/>
    <x v="3"/>
    <s v="Free"/>
    <n v="1"/>
    <n v="1"/>
    <n v="1"/>
    <x v="1"/>
    <n v="442.37"/>
    <n v="1"/>
    <n v="0"/>
    <n v="4"/>
    <n v="69.900000000000006"/>
    <m/>
    <n v="1"/>
  </r>
  <r>
    <s v="USR-100733"/>
    <d v="2025-05-18T00:00:00"/>
    <x v="1"/>
    <x v="0"/>
    <x v="1"/>
    <x v="3"/>
    <s v="Basic"/>
    <n v="1"/>
    <n v="1"/>
    <n v="1"/>
    <x v="0"/>
    <n v="0"/>
    <n v="0"/>
    <n v="0"/>
    <m/>
    <n v="78.900000000000006"/>
    <m/>
    <n v="0"/>
  </r>
  <r>
    <s v="USR-100734"/>
    <d v="2025-04-15T00:00:00"/>
    <x v="1"/>
    <x v="2"/>
    <x v="0"/>
    <x v="4"/>
    <s v="Premium"/>
    <n v="1"/>
    <n v="1"/>
    <n v="0"/>
    <x v="0"/>
    <n v="0"/>
    <n v="0"/>
    <n v="0"/>
    <m/>
    <n v="83.3"/>
    <m/>
    <n v="0"/>
  </r>
  <r>
    <s v="USR-100735"/>
    <d v="2025-03-28T00:00:00"/>
    <x v="1"/>
    <x v="2"/>
    <x v="0"/>
    <x v="0"/>
    <s v="Free"/>
    <n v="1"/>
    <n v="0"/>
    <n v="0"/>
    <x v="0"/>
    <n v="0"/>
    <n v="1"/>
    <n v="0"/>
    <m/>
    <n v="24.5"/>
    <m/>
    <n v="1"/>
  </r>
  <r>
    <s v="USR-100736"/>
    <d v="2025-04-01T00:00:00"/>
    <x v="1"/>
    <x v="1"/>
    <x v="1"/>
    <x v="2"/>
    <s v="Basic"/>
    <n v="1"/>
    <n v="1"/>
    <n v="0"/>
    <x v="0"/>
    <n v="0"/>
    <n v="1"/>
    <n v="0"/>
    <m/>
    <n v="56.9"/>
    <m/>
    <n v="1"/>
  </r>
  <r>
    <s v="USR-100737"/>
    <d v="2025-02-11T00:00:00"/>
    <x v="1"/>
    <x v="1"/>
    <x v="1"/>
    <x v="4"/>
    <s v="Basic"/>
    <n v="1"/>
    <n v="0"/>
    <n v="0"/>
    <x v="0"/>
    <n v="0"/>
    <n v="0"/>
    <n v="0"/>
    <m/>
    <n v="69.900000000000006"/>
    <m/>
    <n v="0"/>
  </r>
  <r>
    <s v="USR-100738"/>
    <d v="2025-03-04T00:00:00"/>
    <x v="1"/>
    <x v="3"/>
    <x v="1"/>
    <x v="1"/>
    <s v="Free"/>
    <n v="1"/>
    <n v="1"/>
    <n v="1"/>
    <x v="0"/>
    <n v="0"/>
    <n v="0"/>
    <n v="0"/>
    <m/>
    <n v="81.5"/>
    <m/>
    <n v="0"/>
  </r>
  <r>
    <s v="USR-100739"/>
    <d v="2025-01-21T00:00:00"/>
    <x v="1"/>
    <x v="0"/>
    <x v="2"/>
    <x v="4"/>
    <s v="Basic"/>
    <n v="0"/>
    <n v="0"/>
    <n v="0"/>
    <x v="0"/>
    <n v="0"/>
    <n v="2"/>
    <n v="0"/>
    <m/>
    <n v="37.9"/>
    <m/>
    <n v="1"/>
  </r>
  <r>
    <s v="USR-100740"/>
    <d v="2025-02-14T00:00:00"/>
    <x v="1"/>
    <x v="0"/>
    <x v="1"/>
    <x v="3"/>
    <s v="Free"/>
    <n v="0"/>
    <n v="0"/>
    <n v="0"/>
    <x v="0"/>
    <n v="0"/>
    <n v="1"/>
    <n v="0"/>
    <m/>
    <n v="61.7"/>
    <m/>
    <n v="1"/>
  </r>
  <r>
    <s v="USR-100741"/>
    <d v="2025-03-30T00:00:00"/>
    <x v="1"/>
    <x v="0"/>
    <x v="0"/>
    <x v="5"/>
    <s v="Premium"/>
    <n v="1"/>
    <n v="0"/>
    <n v="0"/>
    <x v="0"/>
    <n v="0"/>
    <n v="2"/>
    <n v="0"/>
    <m/>
    <n v="53.2"/>
    <m/>
    <n v="1"/>
  </r>
  <r>
    <s v="USR-100742"/>
    <d v="2025-01-08T00:00:00"/>
    <x v="1"/>
    <x v="0"/>
    <x v="1"/>
    <x v="3"/>
    <s v="Free"/>
    <n v="0"/>
    <n v="0"/>
    <n v="0"/>
    <x v="0"/>
    <n v="0"/>
    <n v="0"/>
    <n v="0"/>
    <m/>
    <n v="61.9"/>
    <m/>
    <n v="0"/>
  </r>
  <r>
    <s v="USR-100743"/>
    <d v="2025-02-07T00:00:00"/>
    <x v="1"/>
    <x v="0"/>
    <x v="1"/>
    <x v="4"/>
    <s v="Free"/>
    <n v="1"/>
    <n v="1"/>
    <n v="1"/>
    <x v="0"/>
    <n v="0"/>
    <n v="0"/>
    <n v="0"/>
    <m/>
    <n v="68.900000000000006"/>
    <m/>
    <n v="0"/>
  </r>
  <r>
    <s v="USR-100744"/>
    <d v="2025-02-01T00:00:00"/>
    <x v="1"/>
    <x v="0"/>
    <x v="2"/>
    <x v="2"/>
    <s v="Basic"/>
    <n v="0"/>
    <n v="0"/>
    <n v="0"/>
    <x v="0"/>
    <n v="0"/>
    <n v="0"/>
    <n v="0"/>
    <m/>
    <n v="66.3"/>
    <m/>
    <n v="0"/>
  </r>
  <r>
    <s v="USR-100745"/>
    <d v="2025-01-04T00:00:00"/>
    <x v="1"/>
    <x v="2"/>
    <x v="1"/>
    <x v="0"/>
    <s v="Free"/>
    <n v="1"/>
    <n v="1"/>
    <n v="1"/>
    <x v="0"/>
    <n v="0"/>
    <n v="0"/>
    <n v="0"/>
    <m/>
    <n v="54.6"/>
    <m/>
    <n v="0"/>
  </r>
  <r>
    <s v="USR-100746"/>
    <d v="2025-05-16T00:00:00"/>
    <x v="1"/>
    <x v="3"/>
    <x v="0"/>
    <x v="3"/>
    <s v="Free"/>
    <n v="0"/>
    <n v="0"/>
    <n v="0"/>
    <x v="0"/>
    <n v="0"/>
    <n v="0"/>
    <n v="0"/>
    <m/>
    <n v="53.8"/>
    <m/>
    <n v="0"/>
  </r>
  <r>
    <s v="USR-100747"/>
    <d v="2025-02-28T00:00:00"/>
    <x v="1"/>
    <x v="1"/>
    <x v="1"/>
    <x v="3"/>
    <s v="Free"/>
    <n v="1"/>
    <n v="0"/>
    <n v="0"/>
    <x v="0"/>
    <n v="0"/>
    <n v="0"/>
    <n v="0"/>
    <m/>
    <n v="59.5"/>
    <m/>
    <n v="0"/>
  </r>
  <r>
    <s v="USR-100748"/>
    <d v="2025-04-12T00:00:00"/>
    <x v="1"/>
    <x v="0"/>
    <x v="1"/>
    <x v="3"/>
    <s v="Free"/>
    <n v="1"/>
    <n v="0"/>
    <n v="0"/>
    <x v="0"/>
    <n v="0"/>
    <n v="0"/>
    <n v="0"/>
    <m/>
    <n v="52.6"/>
    <m/>
    <n v="0"/>
  </r>
  <r>
    <s v="USR-100749"/>
    <d v="2025-03-23T00:00:00"/>
    <x v="1"/>
    <x v="3"/>
    <x v="0"/>
    <x v="1"/>
    <s v="Free"/>
    <n v="0"/>
    <n v="0"/>
    <n v="0"/>
    <x v="0"/>
    <n v="0"/>
    <n v="0"/>
    <n v="0"/>
    <m/>
    <n v="49"/>
    <m/>
    <n v="0"/>
  </r>
  <r>
    <s v="USR-100750"/>
    <d v="2025-05-29T00:00:00"/>
    <x v="1"/>
    <x v="0"/>
    <x v="2"/>
    <x v="1"/>
    <s v="Free"/>
    <n v="1"/>
    <n v="0"/>
    <n v="0"/>
    <x v="0"/>
    <n v="0"/>
    <n v="0"/>
    <n v="0"/>
    <m/>
    <n v="59.3"/>
    <m/>
    <n v="0"/>
  </r>
  <r>
    <s v="USR-100751"/>
    <d v="2025-05-21T00:00:00"/>
    <x v="1"/>
    <x v="3"/>
    <x v="0"/>
    <x v="1"/>
    <s v="Basic"/>
    <n v="0"/>
    <n v="0"/>
    <n v="0"/>
    <x v="0"/>
    <n v="0"/>
    <n v="0"/>
    <n v="0"/>
    <m/>
    <n v="67.2"/>
    <m/>
    <n v="0"/>
  </r>
  <r>
    <s v="USR-100752"/>
    <d v="2025-01-05T00:00:00"/>
    <x v="1"/>
    <x v="3"/>
    <x v="1"/>
    <x v="3"/>
    <s v="Premium"/>
    <n v="0"/>
    <n v="0"/>
    <n v="0"/>
    <x v="0"/>
    <n v="0"/>
    <n v="0"/>
    <n v="0"/>
    <m/>
    <n v="73.5"/>
    <m/>
    <n v="0"/>
  </r>
  <r>
    <s v="USR-100753"/>
    <d v="2025-03-19T00:00:00"/>
    <x v="1"/>
    <x v="2"/>
    <x v="2"/>
    <x v="1"/>
    <s v="Free"/>
    <n v="1"/>
    <n v="0"/>
    <n v="0"/>
    <x v="0"/>
    <n v="0"/>
    <n v="0"/>
    <n v="0"/>
    <m/>
    <n v="61.2"/>
    <m/>
    <n v="0"/>
  </r>
  <r>
    <s v="USR-100754"/>
    <d v="2025-04-24T00:00:00"/>
    <x v="1"/>
    <x v="2"/>
    <x v="1"/>
    <x v="1"/>
    <s v="Free"/>
    <n v="1"/>
    <n v="0"/>
    <n v="0"/>
    <x v="0"/>
    <n v="0"/>
    <n v="1"/>
    <n v="0"/>
    <m/>
    <n v="56.4"/>
    <m/>
    <n v="1"/>
  </r>
  <r>
    <s v="USR-100755"/>
    <d v="2025-03-10T00:00:00"/>
    <x v="1"/>
    <x v="0"/>
    <x v="2"/>
    <x v="1"/>
    <s v="Free"/>
    <n v="0"/>
    <n v="0"/>
    <n v="0"/>
    <x v="0"/>
    <n v="0"/>
    <n v="3"/>
    <n v="0"/>
    <m/>
    <n v="72.599999999999994"/>
    <m/>
    <n v="1"/>
  </r>
  <r>
    <s v="USR-100756"/>
    <d v="2025-02-22T00:00:00"/>
    <x v="1"/>
    <x v="3"/>
    <x v="2"/>
    <x v="3"/>
    <s v="Basic"/>
    <n v="1"/>
    <n v="0"/>
    <n v="0"/>
    <x v="0"/>
    <n v="0"/>
    <n v="0"/>
    <n v="0"/>
    <m/>
    <n v="61.7"/>
    <m/>
    <n v="0"/>
  </r>
  <r>
    <s v="USR-100757"/>
    <d v="2025-05-17T00:00:00"/>
    <x v="1"/>
    <x v="2"/>
    <x v="1"/>
    <x v="4"/>
    <s v="Free"/>
    <n v="0"/>
    <n v="0"/>
    <n v="0"/>
    <x v="0"/>
    <n v="0"/>
    <n v="1"/>
    <n v="0"/>
    <m/>
    <n v="66.900000000000006"/>
    <m/>
    <n v="1"/>
  </r>
  <r>
    <s v="USR-100758"/>
    <d v="2025-05-09T00:00:00"/>
    <x v="1"/>
    <x v="2"/>
    <x v="2"/>
    <x v="3"/>
    <s v="Premium"/>
    <n v="1"/>
    <n v="1"/>
    <n v="1"/>
    <x v="1"/>
    <n v="1506.24"/>
    <n v="1"/>
    <n v="0"/>
    <n v="7"/>
    <n v="64.900000000000006"/>
    <m/>
    <n v="1"/>
  </r>
  <r>
    <s v="USR-100759"/>
    <d v="2025-04-26T00:00:00"/>
    <x v="1"/>
    <x v="2"/>
    <x v="2"/>
    <x v="1"/>
    <s v="Premium"/>
    <n v="1"/>
    <n v="0"/>
    <n v="0"/>
    <x v="0"/>
    <n v="0"/>
    <n v="0"/>
    <n v="0"/>
    <m/>
    <n v="57.5"/>
    <m/>
    <n v="0"/>
  </r>
  <r>
    <s v="USR-100760"/>
    <d v="2025-03-15T00:00:00"/>
    <x v="1"/>
    <x v="1"/>
    <x v="0"/>
    <x v="4"/>
    <s v="Free"/>
    <n v="1"/>
    <n v="1"/>
    <n v="1"/>
    <x v="0"/>
    <n v="0"/>
    <n v="0"/>
    <n v="0"/>
    <m/>
    <n v="76.3"/>
    <m/>
    <n v="0"/>
  </r>
  <r>
    <s v="USR-100761"/>
    <d v="2025-04-03T00:00:00"/>
    <x v="1"/>
    <x v="0"/>
    <x v="1"/>
    <x v="2"/>
    <s v="Free"/>
    <n v="0"/>
    <n v="0"/>
    <n v="0"/>
    <x v="0"/>
    <n v="0"/>
    <n v="0"/>
    <n v="0"/>
    <m/>
    <n v="47.5"/>
    <m/>
    <n v="0"/>
  </r>
  <r>
    <s v="USR-100762"/>
    <d v="2025-03-26T00:00:00"/>
    <x v="1"/>
    <x v="3"/>
    <x v="1"/>
    <x v="2"/>
    <s v="Free"/>
    <n v="0"/>
    <n v="0"/>
    <n v="0"/>
    <x v="0"/>
    <n v="0"/>
    <n v="0"/>
    <n v="0"/>
    <m/>
    <m/>
    <m/>
    <n v="0"/>
  </r>
  <r>
    <s v="USR-100763"/>
    <d v="2025-02-05T00:00:00"/>
    <x v="1"/>
    <x v="1"/>
    <x v="0"/>
    <x v="1"/>
    <s v="Basic"/>
    <n v="1"/>
    <n v="1"/>
    <n v="0"/>
    <x v="0"/>
    <n v="0"/>
    <n v="2"/>
    <n v="0"/>
    <m/>
    <n v="71.599999999999994"/>
    <m/>
    <n v="1"/>
  </r>
  <r>
    <s v="USR-100764"/>
    <d v="2025-05-08T00:00:00"/>
    <x v="1"/>
    <x v="3"/>
    <x v="1"/>
    <x v="4"/>
    <s v="Basic"/>
    <n v="1"/>
    <n v="1"/>
    <n v="0"/>
    <x v="0"/>
    <n v="0"/>
    <n v="0"/>
    <n v="0"/>
    <m/>
    <n v="55.8"/>
    <m/>
    <n v="0"/>
  </r>
  <r>
    <s v="USR-100765"/>
    <d v="2025-03-25T00:00:00"/>
    <x v="1"/>
    <x v="3"/>
    <x v="0"/>
    <x v="1"/>
    <s v="Basic"/>
    <n v="0"/>
    <n v="0"/>
    <n v="0"/>
    <x v="0"/>
    <n v="0"/>
    <n v="1"/>
    <n v="0"/>
    <m/>
    <n v="60.1"/>
    <m/>
    <n v="1"/>
  </r>
  <r>
    <s v="USR-100766"/>
    <d v="2025-01-14T00:00:00"/>
    <x v="1"/>
    <x v="1"/>
    <x v="3"/>
    <x v="0"/>
    <s v="Basic"/>
    <n v="1"/>
    <n v="1"/>
    <n v="1"/>
    <x v="0"/>
    <n v="0"/>
    <n v="1"/>
    <n v="0"/>
    <m/>
    <n v="59.3"/>
    <m/>
    <n v="1"/>
  </r>
  <r>
    <s v="USR-100767"/>
    <d v="2025-03-26T00:00:00"/>
    <x v="1"/>
    <x v="0"/>
    <x v="1"/>
    <x v="1"/>
    <s v="Free"/>
    <n v="1"/>
    <n v="1"/>
    <n v="0"/>
    <x v="0"/>
    <n v="0"/>
    <n v="2"/>
    <n v="0"/>
    <m/>
    <n v="49.3"/>
    <m/>
    <n v="1"/>
  </r>
  <r>
    <s v="USR-100768"/>
    <d v="2025-01-16T00:00:00"/>
    <x v="1"/>
    <x v="2"/>
    <x v="1"/>
    <x v="3"/>
    <s v="Free"/>
    <n v="1"/>
    <n v="0"/>
    <n v="0"/>
    <x v="0"/>
    <n v="0"/>
    <n v="0"/>
    <n v="0"/>
    <m/>
    <n v="75"/>
    <m/>
    <n v="0"/>
  </r>
  <r>
    <s v="USR-100769"/>
    <d v="2025-01-04T00:00:00"/>
    <x v="1"/>
    <x v="2"/>
    <x v="1"/>
    <x v="4"/>
    <s v="Free"/>
    <n v="1"/>
    <n v="0"/>
    <n v="0"/>
    <x v="0"/>
    <n v="0"/>
    <n v="0"/>
    <n v="0"/>
    <m/>
    <n v="70.2"/>
    <m/>
    <n v="0"/>
  </r>
  <r>
    <s v="USR-100770"/>
    <d v="2025-02-09T00:00:00"/>
    <x v="1"/>
    <x v="3"/>
    <x v="0"/>
    <x v="1"/>
    <s v="Premium"/>
    <n v="1"/>
    <n v="1"/>
    <n v="1"/>
    <x v="0"/>
    <n v="0"/>
    <n v="0"/>
    <n v="0"/>
    <m/>
    <n v="56.6"/>
    <m/>
    <n v="0"/>
  </r>
  <r>
    <s v="USR-100771"/>
    <d v="2025-03-05T00:00:00"/>
    <x v="1"/>
    <x v="2"/>
    <x v="0"/>
    <x v="1"/>
    <s v="Free"/>
    <n v="1"/>
    <n v="0"/>
    <n v="0"/>
    <x v="0"/>
    <n v="0"/>
    <n v="0"/>
    <n v="0"/>
    <m/>
    <n v="65.400000000000006"/>
    <m/>
    <n v="0"/>
  </r>
  <r>
    <s v="USR-100772"/>
    <d v="2025-03-10T00:00:00"/>
    <x v="1"/>
    <x v="2"/>
    <x v="1"/>
    <x v="3"/>
    <s v="Basic"/>
    <n v="1"/>
    <n v="0"/>
    <n v="0"/>
    <x v="0"/>
    <n v="0"/>
    <n v="0"/>
    <n v="0"/>
    <m/>
    <n v="47.6"/>
    <m/>
    <n v="0"/>
  </r>
  <r>
    <s v="USR-100773"/>
    <d v="2025-02-27T00:00:00"/>
    <x v="1"/>
    <x v="2"/>
    <x v="0"/>
    <x v="2"/>
    <s v="Free"/>
    <n v="1"/>
    <n v="0"/>
    <n v="0"/>
    <x v="0"/>
    <n v="0"/>
    <n v="0"/>
    <n v="0"/>
    <m/>
    <n v="56.7"/>
    <m/>
    <n v="0"/>
  </r>
  <r>
    <s v="USR-100774"/>
    <d v="2025-03-10T00:00:00"/>
    <x v="1"/>
    <x v="0"/>
    <x v="0"/>
    <x v="3"/>
    <s v="Basic"/>
    <n v="1"/>
    <n v="1"/>
    <n v="0"/>
    <x v="0"/>
    <n v="0"/>
    <n v="0"/>
    <n v="0"/>
    <m/>
    <n v="71.400000000000006"/>
    <m/>
    <n v="0"/>
  </r>
  <r>
    <s v="USR-100775"/>
    <d v="2025-04-23T00:00:00"/>
    <x v="1"/>
    <x v="1"/>
    <x v="1"/>
    <x v="4"/>
    <s v="Free"/>
    <n v="0"/>
    <n v="0"/>
    <n v="0"/>
    <x v="0"/>
    <n v="0"/>
    <n v="2"/>
    <n v="0"/>
    <m/>
    <n v="60.5"/>
    <m/>
    <n v="1"/>
  </r>
  <r>
    <s v="USR-100776"/>
    <d v="2025-04-12T00:00:00"/>
    <x v="1"/>
    <x v="0"/>
    <x v="0"/>
    <x v="2"/>
    <s v="Free"/>
    <n v="1"/>
    <n v="0"/>
    <n v="0"/>
    <x v="0"/>
    <n v="0"/>
    <n v="0"/>
    <n v="0"/>
    <m/>
    <n v="46.7"/>
    <m/>
    <n v="0"/>
  </r>
  <r>
    <s v="USR-100777"/>
    <d v="2025-01-26T00:00:00"/>
    <x v="1"/>
    <x v="2"/>
    <x v="0"/>
    <x v="3"/>
    <s v="Free"/>
    <n v="0"/>
    <n v="0"/>
    <n v="0"/>
    <x v="0"/>
    <n v="0"/>
    <n v="0"/>
    <n v="0"/>
    <m/>
    <n v="61"/>
    <m/>
    <n v="0"/>
  </r>
  <r>
    <s v="USR-100778"/>
    <d v="2025-05-24T00:00:00"/>
    <x v="1"/>
    <x v="1"/>
    <x v="2"/>
    <x v="2"/>
    <s v="Free"/>
    <n v="0"/>
    <n v="0"/>
    <n v="0"/>
    <x v="0"/>
    <n v="0"/>
    <n v="0"/>
    <n v="0"/>
    <m/>
    <n v="60.9"/>
    <m/>
    <n v="0"/>
  </r>
  <r>
    <s v="USR-100779"/>
    <d v="2025-01-08T00:00:00"/>
    <x v="1"/>
    <x v="3"/>
    <x v="1"/>
    <x v="1"/>
    <s v="Free"/>
    <n v="1"/>
    <n v="0"/>
    <n v="0"/>
    <x v="0"/>
    <n v="0"/>
    <n v="0"/>
    <n v="0"/>
    <m/>
    <n v="67.099999999999994"/>
    <m/>
    <n v="0"/>
  </r>
  <r>
    <s v="USR-100780"/>
    <d v="2025-04-15T00:00:00"/>
    <x v="1"/>
    <x v="0"/>
    <x v="1"/>
    <x v="3"/>
    <s v="Free"/>
    <n v="1"/>
    <n v="1"/>
    <n v="0"/>
    <x v="0"/>
    <n v="0"/>
    <n v="0"/>
    <n v="0"/>
    <m/>
    <n v="59.6"/>
    <m/>
    <n v="0"/>
  </r>
  <r>
    <s v="USR-100781"/>
    <d v="2025-01-15T00:00:00"/>
    <x v="1"/>
    <x v="3"/>
    <x v="0"/>
    <x v="2"/>
    <s v="Free"/>
    <n v="1"/>
    <n v="0"/>
    <n v="0"/>
    <x v="0"/>
    <n v="0"/>
    <n v="0"/>
    <n v="0"/>
    <m/>
    <n v="83.8"/>
    <m/>
    <n v="0"/>
  </r>
  <r>
    <s v="USR-100782"/>
    <d v="2025-02-28T00:00:00"/>
    <x v="1"/>
    <x v="0"/>
    <x v="1"/>
    <x v="1"/>
    <s v="Basic"/>
    <n v="1"/>
    <n v="1"/>
    <n v="1"/>
    <x v="0"/>
    <n v="0"/>
    <n v="0"/>
    <n v="0"/>
    <m/>
    <n v="70.8"/>
    <m/>
    <n v="0"/>
  </r>
  <r>
    <s v="USR-100783"/>
    <d v="2025-01-01T00:00:00"/>
    <x v="1"/>
    <x v="0"/>
    <x v="2"/>
    <x v="1"/>
    <s v="Basic"/>
    <n v="0"/>
    <n v="0"/>
    <n v="0"/>
    <x v="0"/>
    <n v="0"/>
    <n v="0"/>
    <n v="0"/>
    <m/>
    <n v="65.900000000000006"/>
    <m/>
    <n v="0"/>
  </r>
  <r>
    <s v="USR-100784"/>
    <d v="2025-04-17T00:00:00"/>
    <x v="1"/>
    <x v="1"/>
    <x v="1"/>
    <x v="3"/>
    <s v="Free"/>
    <n v="1"/>
    <n v="0"/>
    <n v="0"/>
    <x v="0"/>
    <n v="0"/>
    <n v="0"/>
    <n v="0"/>
    <m/>
    <n v="58"/>
    <m/>
    <n v="0"/>
  </r>
  <r>
    <s v="USR-100785"/>
    <d v="2025-02-19T00:00:00"/>
    <x v="1"/>
    <x v="0"/>
    <x v="1"/>
    <x v="0"/>
    <s v="Basic"/>
    <n v="1"/>
    <n v="1"/>
    <n v="0"/>
    <x v="0"/>
    <n v="0"/>
    <n v="0"/>
    <n v="0"/>
    <m/>
    <n v="80.3"/>
    <m/>
    <n v="0"/>
  </r>
  <r>
    <s v="USR-100786"/>
    <d v="2025-03-14T00:00:00"/>
    <x v="1"/>
    <x v="0"/>
    <x v="0"/>
    <x v="1"/>
    <s v="Free"/>
    <n v="1"/>
    <n v="0"/>
    <n v="0"/>
    <x v="0"/>
    <n v="0"/>
    <n v="0"/>
    <n v="0"/>
    <m/>
    <n v="55.7"/>
    <m/>
    <n v="0"/>
  </r>
  <r>
    <s v="USR-100787"/>
    <d v="2025-04-21T00:00:00"/>
    <x v="1"/>
    <x v="0"/>
    <x v="1"/>
    <x v="1"/>
    <s v="Free"/>
    <n v="1"/>
    <n v="1"/>
    <n v="0"/>
    <x v="0"/>
    <n v="0"/>
    <n v="0"/>
    <n v="0"/>
    <m/>
    <n v="84.9"/>
    <m/>
    <n v="0"/>
  </r>
  <r>
    <s v="USR-100788"/>
    <d v="2025-02-14T00:00:00"/>
    <x v="1"/>
    <x v="0"/>
    <x v="1"/>
    <x v="1"/>
    <s v="Free"/>
    <n v="1"/>
    <n v="0"/>
    <n v="0"/>
    <x v="0"/>
    <n v="0"/>
    <n v="0"/>
    <n v="0"/>
    <m/>
    <n v="63.3"/>
    <m/>
    <n v="0"/>
  </r>
  <r>
    <s v="USR-100789"/>
    <d v="2025-05-30T00:00:00"/>
    <x v="1"/>
    <x v="1"/>
    <x v="1"/>
    <x v="1"/>
    <s v="Free"/>
    <n v="0"/>
    <n v="0"/>
    <n v="0"/>
    <x v="0"/>
    <n v="0"/>
    <n v="0"/>
    <n v="0"/>
    <m/>
    <n v="53.1"/>
    <m/>
    <n v="0"/>
  </r>
  <r>
    <s v="USR-100790"/>
    <d v="2025-01-20T00:00:00"/>
    <x v="1"/>
    <x v="1"/>
    <x v="1"/>
    <x v="1"/>
    <s v="Free"/>
    <n v="0"/>
    <n v="0"/>
    <n v="0"/>
    <x v="0"/>
    <n v="0"/>
    <n v="0"/>
    <n v="0"/>
    <m/>
    <n v="66"/>
    <m/>
    <n v="0"/>
  </r>
  <r>
    <s v="USR-100791"/>
    <d v="2025-03-17T00:00:00"/>
    <x v="1"/>
    <x v="1"/>
    <x v="1"/>
    <x v="4"/>
    <s v="Premium"/>
    <n v="0"/>
    <n v="0"/>
    <n v="0"/>
    <x v="0"/>
    <n v="0"/>
    <n v="0"/>
    <n v="0"/>
    <m/>
    <n v="54.7"/>
    <m/>
    <n v="0"/>
  </r>
  <r>
    <s v="USR-100792"/>
    <d v="2025-03-04T00:00:00"/>
    <x v="1"/>
    <x v="1"/>
    <x v="1"/>
    <x v="4"/>
    <s v="Free"/>
    <n v="1"/>
    <n v="1"/>
    <n v="0"/>
    <x v="0"/>
    <n v="0"/>
    <n v="1"/>
    <n v="0"/>
    <m/>
    <n v="41.2"/>
    <m/>
    <n v="1"/>
  </r>
  <r>
    <s v="USR-100793"/>
    <d v="2025-02-22T00:00:00"/>
    <x v="1"/>
    <x v="3"/>
    <x v="1"/>
    <x v="1"/>
    <s v="Premium"/>
    <n v="0"/>
    <n v="0"/>
    <n v="0"/>
    <x v="0"/>
    <n v="0"/>
    <n v="0"/>
    <n v="0"/>
    <m/>
    <n v="66.7"/>
    <m/>
    <n v="0"/>
  </r>
  <r>
    <s v="USR-100794"/>
    <d v="2025-05-02T00:00:00"/>
    <x v="1"/>
    <x v="0"/>
    <x v="1"/>
    <x v="2"/>
    <s v="Premium"/>
    <n v="0"/>
    <n v="0"/>
    <n v="0"/>
    <x v="0"/>
    <n v="0"/>
    <n v="0"/>
    <n v="0"/>
    <m/>
    <n v="39.4"/>
    <m/>
    <n v="0"/>
  </r>
  <r>
    <s v="USR-100795"/>
    <d v="2025-03-13T00:00:00"/>
    <x v="1"/>
    <x v="1"/>
    <x v="0"/>
    <x v="1"/>
    <s v="Premium"/>
    <n v="0"/>
    <n v="0"/>
    <n v="0"/>
    <x v="0"/>
    <n v="0"/>
    <n v="3"/>
    <n v="0"/>
    <m/>
    <n v="67"/>
    <m/>
    <n v="1"/>
  </r>
  <r>
    <s v="USR-100796"/>
    <d v="2025-05-31T00:00:00"/>
    <x v="1"/>
    <x v="3"/>
    <x v="1"/>
    <x v="1"/>
    <s v="Basic"/>
    <n v="1"/>
    <n v="0"/>
    <n v="0"/>
    <x v="0"/>
    <n v="0"/>
    <n v="0"/>
    <n v="0"/>
    <m/>
    <n v="50.4"/>
    <m/>
    <n v="0"/>
  </r>
  <r>
    <s v="USR-100797"/>
    <d v="2025-03-07T00:00:00"/>
    <x v="1"/>
    <x v="1"/>
    <x v="0"/>
    <x v="4"/>
    <s v="Free"/>
    <n v="1"/>
    <n v="0"/>
    <n v="0"/>
    <x v="0"/>
    <n v="0"/>
    <n v="0"/>
    <n v="0"/>
    <m/>
    <n v="53.8"/>
    <m/>
    <n v="0"/>
  </r>
  <r>
    <s v="USR-100798"/>
    <d v="2025-02-22T00:00:00"/>
    <x v="1"/>
    <x v="1"/>
    <x v="1"/>
    <x v="2"/>
    <s v="Basic"/>
    <n v="0"/>
    <n v="0"/>
    <n v="0"/>
    <x v="0"/>
    <n v="0"/>
    <n v="1"/>
    <n v="0"/>
    <m/>
    <n v="82.7"/>
    <m/>
    <n v="1"/>
  </r>
  <r>
    <s v="USR-100799"/>
    <d v="2025-01-05T00:00:00"/>
    <x v="1"/>
    <x v="1"/>
    <x v="0"/>
    <x v="2"/>
    <s v="Free"/>
    <n v="1"/>
    <n v="1"/>
    <n v="1"/>
    <x v="0"/>
    <n v="0"/>
    <n v="0"/>
    <n v="0"/>
    <m/>
    <n v="63.9"/>
    <m/>
    <n v="0"/>
  </r>
  <r>
    <s v="USR-100800"/>
    <d v="2025-01-21T00:00:00"/>
    <x v="1"/>
    <x v="1"/>
    <x v="1"/>
    <x v="3"/>
    <s v="Free"/>
    <n v="1"/>
    <n v="0"/>
    <n v="0"/>
    <x v="0"/>
    <n v="0"/>
    <n v="0"/>
    <n v="0"/>
    <m/>
    <n v="61.9"/>
    <m/>
    <n v="0"/>
  </r>
  <r>
    <s v="USR-100801"/>
    <d v="2025-01-25T00:00:00"/>
    <x v="1"/>
    <x v="0"/>
    <x v="0"/>
    <x v="4"/>
    <s v="Free"/>
    <n v="1"/>
    <n v="1"/>
    <n v="1"/>
    <x v="0"/>
    <n v="0"/>
    <n v="0"/>
    <n v="0"/>
    <m/>
    <n v="75"/>
    <m/>
    <n v="0"/>
  </r>
  <r>
    <s v="USR-100802"/>
    <d v="2025-04-04T00:00:00"/>
    <x v="1"/>
    <x v="1"/>
    <x v="1"/>
    <x v="2"/>
    <s v="Basic"/>
    <n v="1"/>
    <n v="1"/>
    <n v="1"/>
    <x v="0"/>
    <n v="0"/>
    <n v="0"/>
    <n v="0"/>
    <m/>
    <n v="43"/>
    <m/>
    <n v="0"/>
  </r>
  <r>
    <s v="USR-100803"/>
    <d v="2025-03-25T00:00:00"/>
    <x v="1"/>
    <x v="0"/>
    <x v="0"/>
    <x v="4"/>
    <s v="Premium"/>
    <n v="0"/>
    <n v="0"/>
    <n v="0"/>
    <x v="0"/>
    <n v="0"/>
    <n v="0"/>
    <n v="0"/>
    <m/>
    <n v="54.3"/>
    <m/>
    <n v="0"/>
  </r>
  <r>
    <s v="USR-100804"/>
    <d v="2025-03-19T00:00:00"/>
    <x v="1"/>
    <x v="1"/>
    <x v="1"/>
    <x v="4"/>
    <s v="Free"/>
    <n v="0"/>
    <n v="0"/>
    <n v="0"/>
    <x v="0"/>
    <n v="0"/>
    <n v="2"/>
    <n v="0"/>
    <m/>
    <n v="44.3"/>
    <m/>
    <n v="1"/>
  </r>
  <r>
    <s v="USR-100805"/>
    <d v="2025-04-24T00:00:00"/>
    <x v="1"/>
    <x v="1"/>
    <x v="0"/>
    <x v="1"/>
    <s v="Free"/>
    <n v="1"/>
    <n v="1"/>
    <n v="1"/>
    <x v="1"/>
    <n v="402.88"/>
    <n v="0"/>
    <n v="0"/>
    <n v="12"/>
    <n v="76"/>
    <m/>
    <n v="0"/>
  </r>
  <r>
    <s v="USR-100806"/>
    <d v="2025-04-04T00:00:00"/>
    <x v="1"/>
    <x v="3"/>
    <x v="2"/>
    <x v="1"/>
    <s v="Free"/>
    <n v="1"/>
    <n v="0"/>
    <n v="0"/>
    <x v="0"/>
    <n v="0"/>
    <n v="2"/>
    <n v="0"/>
    <m/>
    <n v="65.3"/>
    <m/>
    <n v="1"/>
  </r>
  <r>
    <s v="USR-100807"/>
    <d v="2025-03-28T00:00:00"/>
    <x v="1"/>
    <x v="3"/>
    <x v="0"/>
    <x v="2"/>
    <s v="Premium"/>
    <n v="1"/>
    <n v="0"/>
    <n v="0"/>
    <x v="0"/>
    <n v="0"/>
    <n v="0"/>
    <n v="0"/>
    <m/>
    <n v="71.2"/>
    <m/>
    <n v="0"/>
  </r>
  <r>
    <s v="USR-100808"/>
    <d v="2025-05-15T00:00:00"/>
    <x v="1"/>
    <x v="3"/>
    <x v="2"/>
    <x v="2"/>
    <s v="Free"/>
    <n v="1"/>
    <n v="0"/>
    <n v="0"/>
    <x v="0"/>
    <n v="0"/>
    <n v="0"/>
    <n v="0"/>
    <m/>
    <n v="77.900000000000006"/>
    <m/>
    <n v="0"/>
  </r>
  <r>
    <s v="USR-100809"/>
    <d v="2025-03-13T00:00:00"/>
    <x v="1"/>
    <x v="1"/>
    <x v="1"/>
    <x v="2"/>
    <s v="Free"/>
    <n v="0"/>
    <n v="0"/>
    <n v="0"/>
    <x v="0"/>
    <n v="0"/>
    <n v="0"/>
    <n v="0"/>
    <m/>
    <n v="48.6"/>
    <m/>
    <n v="0"/>
  </r>
  <r>
    <s v="USR-100810"/>
    <d v="2025-03-26T00:00:00"/>
    <x v="1"/>
    <x v="0"/>
    <x v="1"/>
    <x v="4"/>
    <s v="Premium"/>
    <n v="1"/>
    <n v="0"/>
    <n v="0"/>
    <x v="0"/>
    <n v="0"/>
    <n v="0"/>
    <n v="0"/>
    <m/>
    <n v="61.9"/>
    <m/>
    <n v="0"/>
  </r>
  <r>
    <s v="USR-100811"/>
    <d v="2025-01-09T00:00:00"/>
    <x v="1"/>
    <x v="0"/>
    <x v="1"/>
    <x v="4"/>
    <s v="Basic"/>
    <n v="0"/>
    <n v="0"/>
    <n v="0"/>
    <x v="0"/>
    <n v="0"/>
    <n v="1"/>
    <n v="0"/>
    <m/>
    <n v="58.7"/>
    <m/>
    <n v="1"/>
  </r>
  <r>
    <s v="USR-100812"/>
    <d v="2025-05-06T00:00:00"/>
    <x v="1"/>
    <x v="3"/>
    <x v="0"/>
    <x v="2"/>
    <s v="Free"/>
    <n v="1"/>
    <n v="0"/>
    <n v="0"/>
    <x v="0"/>
    <n v="0"/>
    <n v="0"/>
    <n v="0"/>
    <m/>
    <n v="69.599999999999994"/>
    <m/>
    <n v="0"/>
  </r>
  <r>
    <s v="USR-100813"/>
    <d v="2025-02-17T00:00:00"/>
    <x v="1"/>
    <x v="3"/>
    <x v="1"/>
    <x v="1"/>
    <s v="Free"/>
    <n v="1"/>
    <n v="0"/>
    <n v="0"/>
    <x v="0"/>
    <n v="0"/>
    <n v="0"/>
    <n v="0"/>
    <m/>
    <n v="51.5"/>
    <m/>
    <n v="0"/>
  </r>
  <r>
    <s v="USR-100814"/>
    <d v="2025-04-05T00:00:00"/>
    <x v="1"/>
    <x v="2"/>
    <x v="1"/>
    <x v="2"/>
    <s v="Free"/>
    <n v="1"/>
    <n v="1"/>
    <n v="1"/>
    <x v="1"/>
    <n v="277.69"/>
    <n v="3"/>
    <n v="0"/>
    <n v="8"/>
    <n v="46"/>
    <m/>
    <n v="1"/>
  </r>
  <r>
    <s v="USR-100815"/>
    <d v="2025-04-13T00:00:00"/>
    <x v="1"/>
    <x v="1"/>
    <x v="2"/>
    <x v="1"/>
    <s v="Free"/>
    <n v="1"/>
    <n v="0"/>
    <n v="0"/>
    <x v="0"/>
    <n v="0"/>
    <n v="0"/>
    <n v="0"/>
    <m/>
    <n v="81.7"/>
    <m/>
    <n v="0"/>
  </r>
  <r>
    <s v="USR-100816"/>
    <d v="2025-05-20T00:00:00"/>
    <x v="1"/>
    <x v="2"/>
    <x v="0"/>
    <x v="3"/>
    <s v="Free"/>
    <n v="1"/>
    <n v="0"/>
    <n v="0"/>
    <x v="0"/>
    <n v="0"/>
    <n v="0"/>
    <n v="0"/>
    <m/>
    <n v="48.3"/>
    <m/>
    <n v="0"/>
  </r>
  <r>
    <s v="USR-100817"/>
    <d v="2025-03-31T00:00:00"/>
    <x v="1"/>
    <x v="2"/>
    <x v="1"/>
    <x v="0"/>
    <s v="Free"/>
    <n v="1"/>
    <n v="1"/>
    <n v="0"/>
    <x v="0"/>
    <n v="0"/>
    <n v="0"/>
    <n v="0"/>
    <m/>
    <n v="85.6"/>
    <m/>
    <n v="0"/>
  </r>
  <r>
    <s v="USR-100818"/>
    <d v="2025-04-03T00:00:00"/>
    <x v="1"/>
    <x v="1"/>
    <x v="2"/>
    <x v="2"/>
    <s v="Basic"/>
    <n v="1"/>
    <n v="0"/>
    <n v="0"/>
    <x v="0"/>
    <n v="0"/>
    <n v="0"/>
    <n v="0"/>
    <m/>
    <n v="53.8"/>
    <m/>
    <n v="0"/>
  </r>
  <r>
    <s v="USR-100819"/>
    <d v="2025-02-04T00:00:00"/>
    <x v="1"/>
    <x v="3"/>
    <x v="1"/>
    <x v="1"/>
    <s v="Free"/>
    <n v="1"/>
    <n v="1"/>
    <n v="1"/>
    <x v="1"/>
    <n v="460.83"/>
    <n v="2"/>
    <n v="0"/>
    <n v="0"/>
    <n v="69.7"/>
    <m/>
    <n v="1"/>
  </r>
  <r>
    <s v="USR-100820"/>
    <d v="2025-05-19T00:00:00"/>
    <x v="1"/>
    <x v="2"/>
    <x v="1"/>
    <x v="1"/>
    <s v="Free"/>
    <n v="1"/>
    <n v="0"/>
    <n v="0"/>
    <x v="0"/>
    <n v="0"/>
    <n v="0"/>
    <n v="0"/>
    <m/>
    <n v="74.8"/>
    <m/>
    <n v="0"/>
  </r>
  <r>
    <s v="USR-100821"/>
    <d v="2025-03-08T00:00:00"/>
    <x v="1"/>
    <x v="2"/>
    <x v="0"/>
    <x v="2"/>
    <s v="Basic"/>
    <n v="0"/>
    <n v="0"/>
    <n v="0"/>
    <x v="0"/>
    <n v="0"/>
    <n v="0"/>
    <n v="0"/>
    <m/>
    <n v="87.9"/>
    <m/>
    <n v="0"/>
  </r>
  <r>
    <s v="USR-100822"/>
    <d v="2025-05-10T00:00:00"/>
    <x v="1"/>
    <x v="0"/>
    <x v="1"/>
    <x v="4"/>
    <s v="Basic"/>
    <n v="1"/>
    <n v="0"/>
    <n v="0"/>
    <x v="0"/>
    <n v="0"/>
    <n v="1"/>
    <n v="0"/>
    <m/>
    <n v="49.1"/>
    <m/>
    <n v="1"/>
  </r>
  <r>
    <s v="USR-100823"/>
    <d v="2025-01-02T00:00:00"/>
    <x v="1"/>
    <x v="2"/>
    <x v="0"/>
    <x v="4"/>
    <s v="Basic"/>
    <n v="1"/>
    <n v="0"/>
    <n v="0"/>
    <x v="0"/>
    <n v="0"/>
    <n v="2"/>
    <n v="0"/>
    <m/>
    <n v="73"/>
    <m/>
    <n v="1"/>
  </r>
  <r>
    <s v="USR-100824"/>
    <d v="2025-01-17T00:00:00"/>
    <x v="1"/>
    <x v="1"/>
    <x v="1"/>
    <x v="1"/>
    <s v="Basic"/>
    <n v="0"/>
    <n v="0"/>
    <n v="0"/>
    <x v="0"/>
    <n v="0"/>
    <n v="0"/>
    <n v="0"/>
    <m/>
    <n v="79.5"/>
    <m/>
    <n v="0"/>
  </r>
  <r>
    <s v="USR-100825"/>
    <d v="2025-05-21T00:00:00"/>
    <x v="1"/>
    <x v="1"/>
    <x v="1"/>
    <x v="3"/>
    <s v="Basic"/>
    <n v="1"/>
    <n v="1"/>
    <n v="1"/>
    <x v="1"/>
    <n v="782.23"/>
    <n v="1"/>
    <n v="0"/>
    <n v="6"/>
    <n v="93.2"/>
    <m/>
    <n v="1"/>
  </r>
  <r>
    <s v="USR-100826"/>
    <d v="2025-05-25T00:00:00"/>
    <x v="1"/>
    <x v="2"/>
    <x v="0"/>
    <x v="3"/>
    <s v="Free"/>
    <n v="1"/>
    <n v="0"/>
    <n v="0"/>
    <x v="0"/>
    <n v="0"/>
    <n v="3"/>
    <n v="0"/>
    <m/>
    <n v="77.5"/>
    <m/>
    <n v="1"/>
  </r>
  <r>
    <s v="USR-100827"/>
    <d v="2025-01-05T00:00:00"/>
    <x v="1"/>
    <x v="1"/>
    <x v="1"/>
    <x v="0"/>
    <s v="Basic"/>
    <n v="1"/>
    <n v="0"/>
    <n v="0"/>
    <x v="0"/>
    <n v="0"/>
    <n v="0"/>
    <n v="0"/>
    <m/>
    <n v="61"/>
    <m/>
    <n v="0"/>
  </r>
  <r>
    <s v="USR-100828"/>
    <d v="2025-02-24T00:00:00"/>
    <x v="1"/>
    <x v="3"/>
    <x v="0"/>
    <x v="1"/>
    <s v="Free"/>
    <n v="1"/>
    <n v="1"/>
    <n v="0"/>
    <x v="0"/>
    <n v="0"/>
    <n v="0"/>
    <n v="0"/>
    <m/>
    <n v="64.900000000000006"/>
    <m/>
    <n v="0"/>
  </r>
  <r>
    <s v="USR-100829"/>
    <d v="2025-01-21T00:00:00"/>
    <x v="1"/>
    <x v="2"/>
    <x v="1"/>
    <x v="2"/>
    <s v="Basic"/>
    <n v="1"/>
    <n v="0"/>
    <n v="0"/>
    <x v="0"/>
    <n v="0"/>
    <n v="0"/>
    <n v="0"/>
    <m/>
    <n v="87.5"/>
    <m/>
    <n v="0"/>
  </r>
  <r>
    <s v="USR-100830"/>
    <d v="2025-04-24T00:00:00"/>
    <x v="1"/>
    <x v="0"/>
    <x v="1"/>
    <x v="1"/>
    <s v="Basic"/>
    <n v="1"/>
    <n v="1"/>
    <n v="1"/>
    <x v="1"/>
    <n v="1171.99"/>
    <n v="0"/>
    <n v="0"/>
    <n v="5"/>
    <n v="80.599999999999994"/>
    <m/>
    <n v="0"/>
  </r>
  <r>
    <s v="USR-100831"/>
    <d v="2025-01-07T00:00:00"/>
    <x v="1"/>
    <x v="1"/>
    <x v="0"/>
    <x v="1"/>
    <s v="Free"/>
    <n v="1"/>
    <n v="0"/>
    <n v="0"/>
    <x v="0"/>
    <n v="0"/>
    <n v="0"/>
    <n v="0"/>
    <m/>
    <n v="66.900000000000006"/>
    <m/>
    <n v="0"/>
  </r>
  <r>
    <s v="USR-100832"/>
    <d v="2025-05-31T00:00:00"/>
    <x v="1"/>
    <x v="3"/>
    <x v="2"/>
    <x v="1"/>
    <s v="Basic"/>
    <n v="1"/>
    <n v="1"/>
    <n v="1"/>
    <x v="0"/>
    <n v="0"/>
    <n v="0"/>
    <n v="0"/>
    <m/>
    <n v="58.8"/>
    <m/>
    <n v="0"/>
  </r>
  <r>
    <s v="USR-100833"/>
    <d v="2025-04-02T00:00:00"/>
    <x v="1"/>
    <x v="0"/>
    <x v="0"/>
    <x v="1"/>
    <s v="Basic"/>
    <n v="1"/>
    <n v="1"/>
    <n v="1"/>
    <x v="1"/>
    <n v="1010.4"/>
    <n v="0"/>
    <n v="0"/>
    <n v="4"/>
    <n v="42.9"/>
    <m/>
    <n v="0"/>
  </r>
  <r>
    <s v="USR-100834"/>
    <d v="2025-04-21T00:00:00"/>
    <x v="1"/>
    <x v="2"/>
    <x v="1"/>
    <x v="1"/>
    <s v="Free"/>
    <n v="1"/>
    <n v="1"/>
    <n v="1"/>
    <x v="0"/>
    <n v="0"/>
    <n v="1"/>
    <n v="0"/>
    <m/>
    <n v="60.2"/>
    <m/>
    <n v="1"/>
  </r>
  <r>
    <s v="USR-100835"/>
    <d v="2025-05-05T00:00:00"/>
    <x v="1"/>
    <x v="2"/>
    <x v="1"/>
    <x v="2"/>
    <s v="Basic"/>
    <n v="1"/>
    <n v="0"/>
    <n v="0"/>
    <x v="0"/>
    <n v="0"/>
    <n v="0"/>
    <n v="0"/>
    <m/>
    <n v="42.7"/>
    <m/>
    <n v="0"/>
  </r>
  <r>
    <s v="USR-100836"/>
    <d v="2025-01-06T00:00:00"/>
    <x v="1"/>
    <x v="0"/>
    <x v="0"/>
    <x v="4"/>
    <s v="Free"/>
    <n v="1"/>
    <n v="1"/>
    <n v="1"/>
    <x v="1"/>
    <n v="431.27"/>
    <n v="0"/>
    <n v="0"/>
    <n v="7"/>
    <n v="60.8"/>
    <m/>
    <n v="0"/>
  </r>
  <r>
    <s v="USR-100837"/>
    <d v="2025-04-24T00:00:00"/>
    <x v="1"/>
    <x v="3"/>
    <x v="1"/>
    <x v="3"/>
    <s v="Free"/>
    <n v="1"/>
    <n v="1"/>
    <n v="1"/>
    <x v="1"/>
    <n v="428.8"/>
    <n v="0"/>
    <n v="0"/>
    <n v="9"/>
    <n v="79.3"/>
    <m/>
    <n v="0"/>
  </r>
  <r>
    <s v="USR-100838"/>
    <d v="2025-04-21T00:00:00"/>
    <x v="1"/>
    <x v="3"/>
    <x v="1"/>
    <x v="1"/>
    <s v="Basic"/>
    <n v="1"/>
    <n v="0"/>
    <n v="0"/>
    <x v="0"/>
    <n v="0"/>
    <n v="1"/>
    <n v="0"/>
    <m/>
    <n v="88.6"/>
    <m/>
    <n v="1"/>
  </r>
  <r>
    <s v="USR-100839"/>
    <d v="2025-02-09T00:00:00"/>
    <x v="1"/>
    <x v="1"/>
    <x v="1"/>
    <x v="1"/>
    <s v="Basic"/>
    <n v="1"/>
    <n v="1"/>
    <n v="1"/>
    <x v="0"/>
    <n v="0"/>
    <n v="0"/>
    <n v="0"/>
    <m/>
    <n v="63.1"/>
    <m/>
    <n v="0"/>
  </r>
  <r>
    <s v="USR-100840"/>
    <d v="2025-01-09T00:00:00"/>
    <x v="1"/>
    <x v="2"/>
    <x v="1"/>
    <x v="1"/>
    <s v="Premium"/>
    <n v="1"/>
    <n v="0"/>
    <n v="0"/>
    <x v="0"/>
    <n v="0"/>
    <n v="0"/>
    <n v="0"/>
    <m/>
    <n v="39.700000000000003"/>
    <m/>
    <n v="0"/>
  </r>
  <r>
    <s v="USR-100841"/>
    <d v="2025-02-16T00:00:00"/>
    <x v="1"/>
    <x v="0"/>
    <x v="1"/>
    <x v="2"/>
    <s v="Basic"/>
    <n v="0"/>
    <n v="0"/>
    <n v="0"/>
    <x v="0"/>
    <n v="0"/>
    <n v="0"/>
    <n v="0"/>
    <m/>
    <n v="67.2"/>
    <m/>
    <n v="0"/>
  </r>
  <r>
    <s v="USR-100842"/>
    <d v="2025-02-21T00:00:00"/>
    <x v="1"/>
    <x v="3"/>
    <x v="1"/>
    <x v="1"/>
    <s v="Free"/>
    <n v="1"/>
    <n v="1"/>
    <n v="1"/>
    <x v="0"/>
    <n v="0"/>
    <n v="0"/>
    <n v="0"/>
    <m/>
    <n v="62.3"/>
    <m/>
    <n v="0"/>
  </r>
  <r>
    <s v="USR-100843"/>
    <d v="2025-02-08T00:00:00"/>
    <x v="1"/>
    <x v="3"/>
    <x v="1"/>
    <x v="1"/>
    <s v="Premium"/>
    <n v="1"/>
    <n v="0"/>
    <n v="0"/>
    <x v="0"/>
    <n v="0"/>
    <n v="0"/>
    <n v="0"/>
    <m/>
    <m/>
    <m/>
    <n v="0"/>
  </r>
  <r>
    <s v="USR-100844"/>
    <d v="2025-01-22T00:00:00"/>
    <x v="1"/>
    <x v="3"/>
    <x v="1"/>
    <x v="2"/>
    <s v="Premium"/>
    <n v="0"/>
    <n v="0"/>
    <n v="0"/>
    <x v="0"/>
    <n v="0"/>
    <n v="0"/>
    <n v="0"/>
    <m/>
    <n v="60.7"/>
    <m/>
    <n v="0"/>
  </r>
  <r>
    <s v="USR-100845"/>
    <d v="2025-04-01T00:00:00"/>
    <x v="1"/>
    <x v="1"/>
    <x v="1"/>
    <x v="1"/>
    <s v="Basic"/>
    <n v="1"/>
    <n v="0"/>
    <n v="0"/>
    <x v="0"/>
    <n v="0"/>
    <n v="0"/>
    <n v="0"/>
    <m/>
    <n v="61.5"/>
    <m/>
    <n v="0"/>
  </r>
  <r>
    <s v="USR-100846"/>
    <d v="2025-01-21T00:00:00"/>
    <x v="1"/>
    <x v="0"/>
    <x v="1"/>
    <x v="2"/>
    <s v="Basic"/>
    <n v="1"/>
    <n v="0"/>
    <n v="0"/>
    <x v="0"/>
    <n v="0"/>
    <n v="0"/>
    <n v="0"/>
    <m/>
    <n v="75"/>
    <m/>
    <n v="0"/>
  </r>
  <r>
    <s v="USR-100847"/>
    <d v="2025-01-02T00:00:00"/>
    <x v="1"/>
    <x v="2"/>
    <x v="0"/>
    <x v="1"/>
    <s v="Free"/>
    <n v="1"/>
    <n v="1"/>
    <n v="0"/>
    <x v="0"/>
    <n v="0"/>
    <n v="0"/>
    <n v="0"/>
    <m/>
    <n v="51.9"/>
    <m/>
    <n v="0"/>
  </r>
  <r>
    <s v="USR-100848"/>
    <d v="2025-05-12T00:00:00"/>
    <x v="1"/>
    <x v="3"/>
    <x v="0"/>
    <x v="2"/>
    <s v="Free"/>
    <n v="0"/>
    <n v="0"/>
    <n v="0"/>
    <x v="0"/>
    <n v="0"/>
    <n v="0"/>
    <n v="0"/>
    <m/>
    <n v="34.5"/>
    <m/>
    <n v="0"/>
  </r>
  <r>
    <s v="USR-100849"/>
    <d v="2025-03-05T00:00:00"/>
    <x v="1"/>
    <x v="3"/>
    <x v="1"/>
    <x v="4"/>
    <s v="Basic"/>
    <n v="0"/>
    <n v="0"/>
    <n v="0"/>
    <x v="0"/>
    <n v="0"/>
    <n v="0"/>
    <n v="0"/>
    <m/>
    <n v="54.5"/>
    <m/>
    <n v="0"/>
  </r>
  <r>
    <s v="USR-100850"/>
    <d v="2025-01-24T00:00:00"/>
    <x v="1"/>
    <x v="2"/>
    <x v="1"/>
    <x v="1"/>
    <s v="Free"/>
    <n v="0"/>
    <n v="0"/>
    <n v="0"/>
    <x v="0"/>
    <n v="0"/>
    <n v="0"/>
    <n v="0"/>
    <m/>
    <n v="46"/>
    <m/>
    <n v="0"/>
  </r>
  <r>
    <s v="USR-100851"/>
    <d v="2025-01-31T00:00:00"/>
    <x v="1"/>
    <x v="2"/>
    <x v="0"/>
    <x v="0"/>
    <s v="Free"/>
    <n v="1"/>
    <n v="1"/>
    <n v="1"/>
    <x v="0"/>
    <n v="0"/>
    <n v="0"/>
    <n v="0"/>
    <m/>
    <n v="88.4"/>
    <m/>
    <n v="0"/>
  </r>
  <r>
    <s v="USR-100852"/>
    <d v="2025-01-24T00:00:00"/>
    <x v="1"/>
    <x v="0"/>
    <x v="2"/>
    <x v="1"/>
    <s v="Basic"/>
    <n v="1"/>
    <n v="0"/>
    <n v="0"/>
    <x v="0"/>
    <n v="0"/>
    <n v="0"/>
    <n v="0"/>
    <m/>
    <n v="69.5"/>
    <m/>
    <n v="0"/>
  </r>
  <r>
    <s v="USR-100853"/>
    <d v="2025-02-14T00:00:00"/>
    <x v="1"/>
    <x v="0"/>
    <x v="0"/>
    <x v="3"/>
    <s v="Basic"/>
    <n v="1"/>
    <n v="1"/>
    <n v="1"/>
    <x v="0"/>
    <n v="0"/>
    <n v="0"/>
    <n v="0"/>
    <m/>
    <n v="74.2"/>
    <m/>
    <n v="0"/>
  </r>
  <r>
    <s v="USR-100854"/>
    <d v="2025-05-27T00:00:00"/>
    <x v="1"/>
    <x v="0"/>
    <x v="1"/>
    <x v="1"/>
    <s v="Free"/>
    <n v="1"/>
    <n v="1"/>
    <n v="1"/>
    <x v="0"/>
    <n v="0"/>
    <n v="0"/>
    <n v="0"/>
    <m/>
    <n v="72.099999999999994"/>
    <m/>
    <n v="0"/>
  </r>
  <r>
    <s v="USR-100855"/>
    <d v="2025-02-28T00:00:00"/>
    <x v="1"/>
    <x v="0"/>
    <x v="1"/>
    <x v="2"/>
    <s v="Free"/>
    <n v="1"/>
    <n v="1"/>
    <n v="1"/>
    <x v="1"/>
    <n v="398.33"/>
    <n v="0"/>
    <n v="0"/>
    <n v="5"/>
    <n v="85.1"/>
    <m/>
    <n v="0"/>
  </r>
  <r>
    <s v="USR-100856"/>
    <d v="2025-05-27T00:00:00"/>
    <x v="1"/>
    <x v="0"/>
    <x v="1"/>
    <x v="1"/>
    <s v="Basic"/>
    <n v="1"/>
    <n v="1"/>
    <n v="1"/>
    <x v="0"/>
    <n v="0"/>
    <n v="0"/>
    <n v="0"/>
    <m/>
    <n v="49.5"/>
    <m/>
    <n v="0"/>
  </r>
  <r>
    <s v="USR-100857"/>
    <d v="2025-05-17T00:00:00"/>
    <x v="1"/>
    <x v="3"/>
    <x v="1"/>
    <x v="2"/>
    <s v="Premium"/>
    <n v="0"/>
    <n v="0"/>
    <n v="0"/>
    <x v="0"/>
    <n v="0"/>
    <n v="1"/>
    <n v="0"/>
    <m/>
    <n v="79"/>
    <m/>
    <n v="1"/>
  </r>
  <r>
    <s v="USR-100858"/>
    <d v="2025-01-10T00:00:00"/>
    <x v="1"/>
    <x v="1"/>
    <x v="0"/>
    <x v="4"/>
    <s v="Free"/>
    <n v="0"/>
    <n v="0"/>
    <n v="0"/>
    <x v="0"/>
    <n v="0"/>
    <n v="0"/>
    <n v="0"/>
    <m/>
    <n v="71.8"/>
    <m/>
    <n v="0"/>
  </r>
  <r>
    <s v="USR-100859"/>
    <d v="2025-04-22T00:00:00"/>
    <x v="1"/>
    <x v="0"/>
    <x v="1"/>
    <x v="0"/>
    <s v="Basic"/>
    <n v="1"/>
    <n v="1"/>
    <n v="1"/>
    <x v="1"/>
    <n v="1117.54"/>
    <n v="0"/>
    <n v="0"/>
    <n v="6"/>
    <n v="60.4"/>
    <m/>
    <n v="0"/>
  </r>
  <r>
    <s v="USR-100860"/>
    <d v="2025-03-02T00:00:00"/>
    <x v="1"/>
    <x v="3"/>
    <x v="0"/>
    <x v="1"/>
    <s v="Basic"/>
    <n v="1"/>
    <n v="0"/>
    <n v="0"/>
    <x v="0"/>
    <n v="0"/>
    <n v="2"/>
    <n v="0"/>
    <m/>
    <n v="38.299999999999997"/>
    <m/>
    <n v="1"/>
  </r>
  <r>
    <s v="USR-100861"/>
    <d v="2025-03-23T00:00:00"/>
    <x v="1"/>
    <x v="2"/>
    <x v="1"/>
    <x v="2"/>
    <s v="Free"/>
    <n v="1"/>
    <n v="1"/>
    <n v="1"/>
    <x v="0"/>
    <n v="0"/>
    <n v="0"/>
    <n v="0"/>
    <m/>
    <n v="79.599999999999994"/>
    <m/>
    <n v="0"/>
  </r>
  <r>
    <s v="USR-100862"/>
    <d v="2025-02-12T00:00:00"/>
    <x v="1"/>
    <x v="2"/>
    <x v="1"/>
    <x v="0"/>
    <s v="Free"/>
    <n v="1"/>
    <n v="1"/>
    <n v="1"/>
    <x v="0"/>
    <n v="0"/>
    <n v="0"/>
    <n v="0"/>
    <m/>
    <n v="71.900000000000006"/>
    <m/>
    <n v="0"/>
  </r>
  <r>
    <s v="USR-100863"/>
    <d v="2025-05-03T00:00:00"/>
    <x v="1"/>
    <x v="3"/>
    <x v="1"/>
    <x v="3"/>
    <s v="Basic"/>
    <n v="1"/>
    <n v="0"/>
    <n v="0"/>
    <x v="0"/>
    <n v="0"/>
    <n v="0"/>
    <n v="0"/>
    <m/>
    <n v="54.6"/>
    <m/>
    <n v="0"/>
  </r>
  <r>
    <s v="USR-100864"/>
    <d v="2025-03-28T00:00:00"/>
    <x v="1"/>
    <x v="0"/>
    <x v="0"/>
    <x v="4"/>
    <s v="Free"/>
    <n v="1"/>
    <n v="0"/>
    <n v="0"/>
    <x v="0"/>
    <n v="0"/>
    <n v="3"/>
    <n v="0"/>
    <m/>
    <n v="49.3"/>
    <m/>
    <n v="1"/>
  </r>
  <r>
    <s v="USR-100865"/>
    <d v="2025-03-12T00:00:00"/>
    <x v="1"/>
    <x v="0"/>
    <x v="1"/>
    <x v="4"/>
    <s v="Basic"/>
    <n v="0"/>
    <n v="0"/>
    <n v="0"/>
    <x v="0"/>
    <n v="0"/>
    <n v="1"/>
    <n v="0"/>
    <m/>
    <n v="66.900000000000006"/>
    <m/>
    <n v="1"/>
  </r>
  <r>
    <s v="USR-100866"/>
    <d v="2025-04-27T00:00:00"/>
    <x v="1"/>
    <x v="2"/>
    <x v="1"/>
    <x v="2"/>
    <s v="Free"/>
    <n v="1"/>
    <n v="0"/>
    <n v="0"/>
    <x v="0"/>
    <n v="0"/>
    <n v="1"/>
    <n v="0"/>
    <m/>
    <n v="77.8"/>
    <m/>
    <n v="1"/>
  </r>
  <r>
    <s v="USR-100867"/>
    <d v="2025-04-02T00:00:00"/>
    <x v="1"/>
    <x v="3"/>
    <x v="1"/>
    <x v="3"/>
    <s v="Basic"/>
    <n v="1"/>
    <n v="0"/>
    <n v="0"/>
    <x v="0"/>
    <n v="0"/>
    <n v="0"/>
    <n v="0"/>
    <m/>
    <n v="63"/>
    <m/>
    <n v="0"/>
  </r>
  <r>
    <s v="USR-100868"/>
    <d v="2025-04-21T00:00:00"/>
    <x v="1"/>
    <x v="0"/>
    <x v="1"/>
    <x v="4"/>
    <s v="Free"/>
    <n v="0"/>
    <n v="0"/>
    <n v="0"/>
    <x v="0"/>
    <n v="0"/>
    <n v="0"/>
    <n v="0"/>
    <m/>
    <n v="79.8"/>
    <m/>
    <n v="0"/>
  </r>
  <r>
    <s v="USR-100869"/>
    <d v="2025-01-26T00:00:00"/>
    <x v="1"/>
    <x v="1"/>
    <x v="0"/>
    <x v="1"/>
    <s v="Basic"/>
    <n v="0"/>
    <n v="0"/>
    <n v="0"/>
    <x v="0"/>
    <n v="0"/>
    <n v="0"/>
    <n v="0"/>
    <m/>
    <n v="69.900000000000006"/>
    <m/>
    <n v="0"/>
  </r>
  <r>
    <s v="USR-100870"/>
    <d v="2025-01-06T00:00:00"/>
    <x v="1"/>
    <x v="1"/>
    <x v="1"/>
    <x v="1"/>
    <s v="Free"/>
    <n v="0"/>
    <n v="0"/>
    <n v="0"/>
    <x v="0"/>
    <n v="0"/>
    <n v="1"/>
    <n v="0"/>
    <m/>
    <n v="66.400000000000006"/>
    <m/>
    <n v="1"/>
  </r>
  <r>
    <s v="USR-100871"/>
    <d v="2025-02-07T00:00:00"/>
    <x v="1"/>
    <x v="2"/>
    <x v="1"/>
    <x v="1"/>
    <s v="Free"/>
    <n v="1"/>
    <n v="0"/>
    <n v="0"/>
    <x v="0"/>
    <n v="0"/>
    <n v="0"/>
    <n v="0"/>
    <m/>
    <n v="27.6"/>
    <m/>
    <n v="0"/>
  </r>
  <r>
    <s v="USR-100872"/>
    <d v="2025-05-07T00:00:00"/>
    <x v="1"/>
    <x v="1"/>
    <x v="1"/>
    <x v="1"/>
    <s v="Premium"/>
    <n v="1"/>
    <n v="0"/>
    <n v="0"/>
    <x v="0"/>
    <n v="0"/>
    <n v="1"/>
    <n v="0"/>
    <m/>
    <n v="56.5"/>
    <m/>
    <n v="1"/>
  </r>
  <r>
    <s v="USR-100873"/>
    <d v="2025-04-22T00:00:00"/>
    <x v="1"/>
    <x v="1"/>
    <x v="3"/>
    <x v="4"/>
    <s v="Free"/>
    <n v="1"/>
    <n v="0"/>
    <n v="0"/>
    <x v="0"/>
    <n v="0"/>
    <n v="0"/>
    <n v="0"/>
    <m/>
    <n v="67.8"/>
    <m/>
    <n v="0"/>
  </r>
  <r>
    <s v="USR-100874"/>
    <d v="2025-05-04T00:00:00"/>
    <x v="1"/>
    <x v="1"/>
    <x v="0"/>
    <x v="4"/>
    <s v="Free"/>
    <n v="1"/>
    <n v="0"/>
    <n v="0"/>
    <x v="0"/>
    <n v="0"/>
    <n v="0"/>
    <n v="0"/>
    <m/>
    <n v="80"/>
    <m/>
    <n v="0"/>
  </r>
  <r>
    <s v="USR-100875"/>
    <d v="2025-05-16T00:00:00"/>
    <x v="1"/>
    <x v="3"/>
    <x v="1"/>
    <x v="4"/>
    <s v="Basic"/>
    <n v="1"/>
    <n v="1"/>
    <n v="1"/>
    <x v="0"/>
    <n v="0"/>
    <n v="1"/>
    <n v="0"/>
    <m/>
    <n v="80.900000000000006"/>
    <m/>
    <n v="1"/>
  </r>
  <r>
    <s v="USR-100876"/>
    <d v="2025-02-11T00:00:00"/>
    <x v="1"/>
    <x v="1"/>
    <x v="1"/>
    <x v="2"/>
    <s v="Free"/>
    <n v="0"/>
    <n v="0"/>
    <n v="0"/>
    <x v="0"/>
    <n v="0"/>
    <n v="0"/>
    <n v="0"/>
    <m/>
    <n v="34.5"/>
    <m/>
    <n v="0"/>
  </r>
  <r>
    <s v="USR-100877"/>
    <d v="2025-05-09T00:00:00"/>
    <x v="1"/>
    <x v="2"/>
    <x v="0"/>
    <x v="1"/>
    <s v="Premium"/>
    <n v="1"/>
    <n v="0"/>
    <n v="0"/>
    <x v="0"/>
    <n v="0"/>
    <n v="0"/>
    <n v="0"/>
    <m/>
    <n v="73.5"/>
    <m/>
    <n v="0"/>
  </r>
  <r>
    <s v="USR-100878"/>
    <d v="2025-02-09T00:00:00"/>
    <x v="1"/>
    <x v="3"/>
    <x v="0"/>
    <x v="2"/>
    <s v="Free"/>
    <n v="1"/>
    <n v="1"/>
    <n v="0"/>
    <x v="0"/>
    <n v="0"/>
    <n v="0"/>
    <n v="0"/>
    <m/>
    <n v="70"/>
    <m/>
    <n v="0"/>
  </r>
  <r>
    <s v="USR-100879"/>
    <d v="2025-05-22T00:00:00"/>
    <x v="1"/>
    <x v="1"/>
    <x v="1"/>
    <x v="4"/>
    <s v="Basic"/>
    <n v="0"/>
    <n v="0"/>
    <n v="0"/>
    <x v="0"/>
    <n v="0"/>
    <n v="0"/>
    <n v="0"/>
    <m/>
    <n v="86.9"/>
    <m/>
    <n v="0"/>
  </r>
  <r>
    <s v="USR-100880"/>
    <d v="2025-05-24T00:00:00"/>
    <x v="1"/>
    <x v="2"/>
    <x v="1"/>
    <x v="4"/>
    <s v="Basic"/>
    <n v="0"/>
    <n v="0"/>
    <n v="0"/>
    <x v="0"/>
    <n v="0"/>
    <n v="0"/>
    <n v="0"/>
    <m/>
    <n v="66.900000000000006"/>
    <m/>
    <n v="0"/>
  </r>
  <r>
    <s v="USR-100881"/>
    <d v="2025-04-27T00:00:00"/>
    <x v="1"/>
    <x v="3"/>
    <x v="0"/>
    <x v="4"/>
    <s v="Basic"/>
    <n v="1"/>
    <n v="1"/>
    <n v="1"/>
    <x v="0"/>
    <n v="0"/>
    <n v="0"/>
    <n v="0"/>
    <m/>
    <n v="58.3"/>
    <m/>
    <n v="0"/>
  </r>
  <r>
    <s v="USR-100882"/>
    <d v="2025-03-19T00:00:00"/>
    <x v="1"/>
    <x v="2"/>
    <x v="1"/>
    <x v="2"/>
    <s v="Free"/>
    <n v="1"/>
    <n v="0"/>
    <n v="0"/>
    <x v="0"/>
    <n v="0"/>
    <n v="0"/>
    <n v="0"/>
    <m/>
    <n v="45"/>
    <m/>
    <n v="0"/>
  </r>
  <r>
    <s v="USR-100883"/>
    <d v="2025-05-20T00:00:00"/>
    <x v="1"/>
    <x v="3"/>
    <x v="1"/>
    <x v="1"/>
    <s v="Premium"/>
    <n v="0"/>
    <n v="0"/>
    <n v="0"/>
    <x v="0"/>
    <n v="0"/>
    <n v="0"/>
    <n v="0"/>
    <m/>
    <n v="60.8"/>
    <m/>
    <n v="0"/>
  </r>
  <r>
    <s v="USR-100884"/>
    <d v="2025-05-10T00:00:00"/>
    <x v="1"/>
    <x v="0"/>
    <x v="1"/>
    <x v="0"/>
    <s v="Premium"/>
    <n v="1"/>
    <n v="0"/>
    <n v="0"/>
    <x v="0"/>
    <n v="0"/>
    <n v="4"/>
    <n v="0"/>
    <m/>
    <n v="53.7"/>
    <m/>
    <n v="1"/>
  </r>
  <r>
    <s v="USR-100885"/>
    <d v="2025-03-29T00:00:00"/>
    <x v="1"/>
    <x v="2"/>
    <x v="1"/>
    <x v="4"/>
    <s v="Free"/>
    <n v="1"/>
    <n v="1"/>
    <n v="1"/>
    <x v="0"/>
    <n v="0"/>
    <n v="0"/>
    <n v="0"/>
    <m/>
    <n v="48.8"/>
    <m/>
    <n v="0"/>
  </r>
  <r>
    <s v="USR-100886"/>
    <d v="2025-04-03T00:00:00"/>
    <x v="1"/>
    <x v="1"/>
    <x v="0"/>
    <x v="3"/>
    <s v="Basic"/>
    <n v="0"/>
    <n v="0"/>
    <n v="0"/>
    <x v="0"/>
    <n v="0"/>
    <n v="0"/>
    <n v="0"/>
    <m/>
    <n v="52.9"/>
    <m/>
    <n v="0"/>
  </r>
  <r>
    <s v="USR-100887"/>
    <d v="2025-05-30T00:00:00"/>
    <x v="1"/>
    <x v="3"/>
    <x v="1"/>
    <x v="0"/>
    <s v="Free"/>
    <n v="1"/>
    <n v="0"/>
    <n v="0"/>
    <x v="0"/>
    <n v="0"/>
    <n v="0"/>
    <n v="0"/>
    <m/>
    <n v="42.4"/>
    <m/>
    <n v="0"/>
  </r>
  <r>
    <s v="USR-100888"/>
    <d v="2025-04-06T00:00:00"/>
    <x v="1"/>
    <x v="2"/>
    <x v="0"/>
    <x v="0"/>
    <s v="Free"/>
    <n v="1"/>
    <n v="0"/>
    <n v="0"/>
    <x v="0"/>
    <n v="0"/>
    <n v="0"/>
    <n v="0"/>
    <m/>
    <n v="58.7"/>
    <m/>
    <n v="0"/>
  </r>
  <r>
    <s v="USR-100889"/>
    <d v="2025-03-14T00:00:00"/>
    <x v="1"/>
    <x v="0"/>
    <x v="1"/>
    <x v="3"/>
    <s v="Free"/>
    <n v="1"/>
    <n v="1"/>
    <n v="1"/>
    <x v="1"/>
    <n v="2064.5500000000002"/>
    <n v="0"/>
    <n v="0"/>
    <n v="1"/>
    <n v="67.8"/>
    <m/>
    <n v="0"/>
  </r>
  <r>
    <s v="USR-100890"/>
    <d v="2025-02-24T00:00:00"/>
    <x v="1"/>
    <x v="3"/>
    <x v="0"/>
    <x v="2"/>
    <s v="Basic"/>
    <n v="1"/>
    <n v="0"/>
    <n v="0"/>
    <x v="0"/>
    <n v="0"/>
    <n v="0"/>
    <n v="0"/>
    <m/>
    <n v="62.6"/>
    <m/>
    <n v="0"/>
  </r>
  <r>
    <s v="USR-100891"/>
    <d v="2025-03-04T00:00:00"/>
    <x v="1"/>
    <x v="1"/>
    <x v="1"/>
    <x v="0"/>
    <s v="Basic"/>
    <n v="1"/>
    <n v="0"/>
    <n v="0"/>
    <x v="0"/>
    <n v="0"/>
    <n v="0"/>
    <n v="0"/>
    <m/>
    <n v="82.4"/>
    <m/>
    <n v="0"/>
  </r>
  <r>
    <s v="USR-100892"/>
    <d v="2025-04-02T00:00:00"/>
    <x v="1"/>
    <x v="0"/>
    <x v="1"/>
    <x v="1"/>
    <s v="Free"/>
    <n v="1"/>
    <n v="1"/>
    <n v="1"/>
    <x v="0"/>
    <n v="0"/>
    <n v="0"/>
    <n v="0"/>
    <m/>
    <n v="50.4"/>
    <m/>
    <n v="0"/>
  </r>
  <r>
    <s v="USR-100893"/>
    <d v="2025-05-11T00:00:00"/>
    <x v="1"/>
    <x v="0"/>
    <x v="1"/>
    <x v="0"/>
    <s v="Premium"/>
    <n v="0"/>
    <n v="0"/>
    <n v="0"/>
    <x v="0"/>
    <n v="0"/>
    <n v="0"/>
    <n v="0"/>
    <m/>
    <n v="68.400000000000006"/>
    <m/>
    <n v="0"/>
  </r>
  <r>
    <s v="USR-100894"/>
    <d v="2025-05-10T00:00:00"/>
    <x v="1"/>
    <x v="1"/>
    <x v="2"/>
    <x v="2"/>
    <s v="Basic"/>
    <n v="1"/>
    <n v="1"/>
    <n v="1"/>
    <x v="0"/>
    <n v="0"/>
    <n v="0"/>
    <n v="0"/>
    <m/>
    <n v="58.8"/>
    <m/>
    <n v="0"/>
  </r>
  <r>
    <s v="USR-100895"/>
    <d v="2025-05-06T00:00:00"/>
    <x v="1"/>
    <x v="1"/>
    <x v="1"/>
    <x v="3"/>
    <s v="Free"/>
    <n v="1"/>
    <n v="1"/>
    <n v="0"/>
    <x v="0"/>
    <n v="0"/>
    <n v="2"/>
    <n v="0"/>
    <m/>
    <n v="28.3"/>
    <m/>
    <n v="1"/>
  </r>
  <r>
    <s v="USR-100896"/>
    <d v="2025-02-11T00:00:00"/>
    <x v="1"/>
    <x v="1"/>
    <x v="0"/>
    <x v="2"/>
    <s v="Free"/>
    <n v="1"/>
    <n v="1"/>
    <n v="0"/>
    <x v="0"/>
    <n v="0"/>
    <n v="0"/>
    <n v="0"/>
    <m/>
    <n v="44.1"/>
    <m/>
    <n v="0"/>
  </r>
  <r>
    <s v="USR-100897"/>
    <d v="2025-05-09T00:00:00"/>
    <x v="1"/>
    <x v="3"/>
    <x v="1"/>
    <x v="2"/>
    <s v="Premium"/>
    <n v="1"/>
    <n v="1"/>
    <n v="0"/>
    <x v="0"/>
    <n v="0"/>
    <n v="0"/>
    <n v="0"/>
    <m/>
    <n v="66.7"/>
    <m/>
    <n v="0"/>
  </r>
  <r>
    <s v="USR-100898"/>
    <d v="2025-02-02T00:00:00"/>
    <x v="1"/>
    <x v="3"/>
    <x v="1"/>
    <x v="5"/>
    <s v="Free"/>
    <n v="1"/>
    <n v="0"/>
    <n v="0"/>
    <x v="0"/>
    <n v="0"/>
    <n v="0"/>
    <n v="0"/>
    <m/>
    <n v="100"/>
    <m/>
    <n v="0"/>
  </r>
  <r>
    <s v="USR-100899"/>
    <d v="2025-04-03T00:00:00"/>
    <x v="1"/>
    <x v="3"/>
    <x v="1"/>
    <x v="4"/>
    <s v="Free"/>
    <n v="1"/>
    <n v="1"/>
    <n v="0"/>
    <x v="0"/>
    <n v="0"/>
    <n v="0"/>
    <n v="0"/>
    <m/>
    <n v="87.5"/>
    <m/>
    <n v="0"/>
  </r>
  <r>
    <s v="USR-100900"/>
    <d v="2025-02-15T00:00:00"/>
    <x v="1"/>
    <x v="0"/>
    <x v="0"/>
    <x v="1"/>
    <s v="Basic"/>
    <n v="1"/>
    <n v="0"/>
    <n v="0"/>
    <x v="0"/>
    <n v="0"/>
    <n v="2"/>
    <n v="0"/>
    <m/>
    <n v="65.400000000000006"/>
    <m/>
    <n v="1"/>
  </r>
  <r>
    <s v="USR-100901"/>
    <d v="2025-04-18T00:00:00"/>
    <x v="1"/>
    <x v="3"/>
    <x v="0"/>
    <x v="1"/>
    <s v="Free"/>
    <n v="1"/>
    <n v="0"/>
    <n v="0"/>
    <x v="0"/>
    <n v="0"/>
    <n v="0"/>
    <n v="0"/>
    <m/>
    <n v="22.9"/>
    <m/>
    <n v="0"/>
  </r>
  <r>
    <s v="USR-100902"/>
    <d v="2025-03-14T00:00:00"/>
    <x v="1"/>
    <x v="1"/>
    <x v="0"/>
    <x v="1"/>
    <s v="Premium"/>
    <n v="0"/>
    <n v="0"/>
    <n v="0"/>
    <x v="0"/>
    <n v="0"/>
    <n v="0"/>
    <n v="0"/>
    <m/>
    <n v="64.599999999999994"/>
    <m/>
    <n v="0"/>
  </r>
  <r>
    <s v="USR-100903"/>
    <d v="2025-03-29T00:00:00"/>
    <x v="1"/>
    <x v="3"/>
    <x v="1"/>
    <x v="3"/>
    <s v="Free"/>
    <n v="1"/>
    <n v="0"/>
    <n v="0"/>
    <x v="0"/>
    <n v="0"/>
    <n v="2"/>
    <n v="0"/>
    <m/>
    <n v="54.4"/>
    <m/>
    <n v="1"/>
  </r>
  <r>
    <s v="USR-100904"/>
    <d v="2025-02-13T00:00:00"/>
    <x v="1"/>
    <x v="0"/>
    <x v="0"/>
    <x v="1"/>
    <s v="Free"/>
    <n v="1"/>
    <n v="1"/>
    <n v="1"/>
    <x v="0"/>
    <n v="0"/>
    <n v="0"/>
    <n v="0"/>
    <m/>
    <n v="56.8"/>
    <m/>
    <n v="0"/>
  </r>
  <r>
    <s v="USR-100905"/>
    <d v="2025-01-23T00:00:00"/>
    <x v="1"/>
    <x v="3"/>
    <x v="1"/>
    <x v="2"/>
    <s v="Free"/>
    <n v="1"/>
    <n v="1"/>
    <n v="1"/>
    <x v="1"/>
    <n v="341.38"/>
    <n v="0"/>
    <n v="0"/>
    <n v="2"/>
    <n v="63.6"/>
    <m/>
    <n v="0"/>
  </r>
  <r>
    <s v="USR-100906"/>
    <d v="2025-02-24T00:00:00"/>
    <x v="1"/>
    <x v="2"/>
    <x v="1"/>
    <x v="4"/>
    <s v="Free"/>
    <n v="1"/>
    <n v="0"/>
    <n v="0"/>
    <x v="0"/>
    <n v="0"/>
    <n v="0"/>
    <n v="0"/>
    <m/>
    <n v="58.2"/>
    <m/>
    <n v="0"/>
  </r>
  <r>
    <s v="USR-100907"/>
    <d v="2025-02-28T00:00:00"/>
    <x v="1"/>
    <x v="1"/>
    <x v="1"/>
    <x v="2"/>
    <s v="Free"/>
    <n v="1"/>
    <n v="1"/>
    <n v="0"/>
    <x v="0"/>
    <n v="0"/>
    <n v="0"/>
    <n v="0"/>
    <m/>
    <n v="54.6"/>
    <m/>
    <n v="0"/>
  </r>
  <r>
    <s v="USR-100908"/>
    <d v="2025-01-07T00:00:00"/>
    <x v="1"/>
    <x v="1"/>
    <x v="2"/>
    <x v="1"/>
    <s v="Basic"/>
    <n v="1"/>
    <n v="0"/>
    <n v="0"/>
    <x v="0"/>
    <n v="0"/>
    <n v="0"/>
    <n v="0"/>
    <m/>
    <n v="81.900000000000006"/>
    <m/>
    <n v="0"/>
  </r>
  <r>
    <s v="USR-100909"/>
    <d v="2025-03-21T00:00:00"/>
    <x v="1"/>
    <x v="1"/>
    <x v="0"/>
    <x v="0"/>
    <s v="Free"/>
    <n v="1"/>
    <n v="0"/>
    <n v="0"/>
    <x v="0"/>
    <n v="0"/>
    <n v="3"/>
    <n v="0"/>
    <m/>
    <n v="53.3"/>
    <m/>
    <n v="1"/>
  </r>
  <r>
    <s v="USR-100910"/>
    <d v="2025-02-18T00:00:00"/>
    <x v="1"/>
    <x v="0"/>
    <x v="0"/>
    <x v="1"/>
    <s v="Basic"/>
    <n v="0"/>
    <n v="0"/>
    <n v="0"/>
    <x v="0"/>
    <n v="0"/>
    <n v="0"/>
    <n v="0"/>
    <m/>
    <n v="54.2"/>
    <m/>
    <n v="0"/>
  </r>
  <r>
    <s v="USR-100911"/>
    <d v="2025-01-05T00:00:00"/>
    <x v="1"/>
    <x v="0"/>
    <x v="1"/>
    <x v="2"/>
    <s v="Free"/>
    <n v="1"/>
    <n v="1"/>
    <n v="0"/>
    <x v="0"/>
    <n v="0"/>
    <n v="0"/>
    <n v="0"/>
    <m/>
    <n v="65.599999999999994"/>
    <m/>
    <n v="0"/>
  </r>
  <r>
    <s v="USR-100912"/>
    <d v="2025-03-11T00:00:00"/>
    <x v="1"/>
    <x v="2"/>
    <x v="0"/>
    <x v="1"/>
    <s v="Basic"/>
    <n v="1"/>
    <n v="0"/>
    <n v="0"/>
    <x v="0"/>
    <n v="0"/>
    <n v="1"/>
    <n v="0"/>
    <m/>
    <n v="56.5"/>
    <m/>
    <n v="1"/>
  </r>
  <r>
    <s v="USR-100913"/>
    <d v="2025-01-09T00:00:00"/>
    <x v="1"/>
    <x v="0"/>
    <x v="0"/>
    <x v="1"/>
    <s v="Basic"/>
    <n v="1"/>
    <n v="0"/>
    <n v="0"/>
    <x v="0"/>
    <n v="0"/>
    <n v="0"/>
    <n v="0"/>
    <m/>
    <n v="59.7"/>
    <m/>
    <n v="0"/>
  </r>
  <r>
    <s v="USR-100914"/>
    <d v="2025-01-08T00:00:00"/>
    <x v="1"/>
    <x v="3"/>
    <x v="1"/>
    <x v="1"/>
    <s v="Free"/>
    <n v="1"/>
    <n v="1"/>
    <n v="1"/>
    <x v="0"/>
    <n v="0"/>
    <n v="0"/>
    <n v="0"/>
    <m/>
    <n v="72.5"/>
    <m/>
    <n v="0"/>
  </r>
  <r>
    <s v="USR-100915"/>
    <d v="2025-05-01T00:00:00"/>
    <x v="1"/>
    <x v="2"/>
    <x v="0"/>
    <x v="2"/>
    <s v="Free"/>
    <n v="1"/>
    <n v="0"/>
    <n v="0"/>
    <x v="0"/>
    <n v="0"/>
    <n v="0"/>
    <n v="0"/>
    <m/>
    <n v="64.3"/>
    <m/>
    <n v="0"/>
  </r>
  <r>
    <s v="USR-100916"/>
    <d v="2025-03-03T00:00:00"/>
    <x v="1"/>
    <x v="3"/>
    <x v="1"/>
    <x v="4"/>
    <s v="Free"/>
    <n v="1"/>
    <n v="0"/>
    <n v="0"/>
    <x v="0"/>
    <n v="0"/>
    <n v="0"/>
    <n v="0"/>
    <m/>
    <n v="64.5"/>
    <m/>
    <n v="0"/>
  </r>
  <r>
    <s v="USR-100917"/>
    <d v="2025-02-23T00:00:00"/>
    <x v="1"/>
    <x v="1"/>
    <x v="0"/>
    <x v="4"/>
    <s v="Basic"/>
    <n v="1"/>
    <n v="1"/>
    <n v="1"/>
    <x v="0"/>
    <n v="0"/>
    <n v="0"/>
    <n v="0"/>
    <m/>
    <n v="70.599999999999994"/>
    <m/>
    <n v="0"/>
  </r>
  <r>
    <s v="USR-100918"/>
    <d v="2025-02-17T00:00:00"/>
    <x v="1"/>
    <x v="3"/>
    <x v="0"/>
    <x v="1"/>
    <s v="Basic"/>
    <n v="0"/>
    <n v="0"/>
    <n v="0"/>
    <x v="0"/>
    <n v="0"/>
    <n v="0"/>
    <n v="0"/>
    <m/>
    <n v="58.4"/>
    <m/>
    <n v="0"/>
  </r>
  <r>
    <s v="USR-100919"/>
    <d v="2025-05-21T00:00:00"/>
    <x v="1"/>
    <x v="2"/>
    <x v="1"/>
    <x v="1"/>
    <s v="Basic"/>
    <n v="1"/>
    <n v="0"/>
    <n v="0"/>
    <x v="0"/>
    <n v="0"/>
    <n v="0"/>
    <n v="0"/>
    <m/>
    <n v="56.6"/>
    <m/>
    <n v="0"/>
  </r>
  <r>
    <s v="USR-100920"/>
    <d v="2025-01-30T00:00:00"/>
    <x v="1"/>
    <x v="3"/>
    <x v="1"/>
    <x v="1"/>
    <s v="Free"/>
    <n v="1"/>
    <n v="0"/>
    <n v="0"/>
    <x v="0"/>
    <n v="0"/>
    <n v="0"/>
    <n v="0"/>
    <m/>
    <n v="61.8"/>
    <m/>
    <n v="0"/>
  </r>
  <r>
    <s v="USR-100921"/>
    <d v="2025-03-20T00:00:00"/>
    <x v="1"/>
    <x v="1"/>
    <x v="1"/>
    <x v="0"/>
    <s v="Free"/>
    <n v="1"/>
    <n v="1"/>
    <n v="1"/>
    <x v="1"/>
    <n v="513.52"/>
    <n v="0"/>
    <n v="0"/>
    <n v="8"/>
    <n v="43.4"/>
    <m/>
    <n v="0"/>
  </r>
  <r>
    <s v="USR-100922"/>
    <d v="2025-04-10T00:00:00"/>
    <x v="1"/>
    <x v="1"/>
    <x v="2"/>
    <x v="2"/>
    <s v="Free"/>
    <n v="0"/>
    <n v="0"/>
    <n v="0"/>
    <x v="0"/>
    <n v="0"/>
    <n v="0"/>
    <n v="0"/>
    <m/>
    <n v="43"/>
    <m/>
    <n v="0"/>
  </r>
  <r>
    <s v="USR-100923"/>
    <d v="2025-03-07T00:00:00"/>
    <x v="1"/>
    <x v="0"/>
    <x v="0"/>
    <x v="1"/>
    <s v="Free"/>
    <n v="1"/>
    <n v="1"/>
    <n v="1"/>
    <x v="0"/>
    <n v="0"/>
    <n v="0"/>
    <n v="0"/>
    <m/>
    <n v="51.1"/>
    <m/>
    <n v="0"/>
  </r>
  <r>
    <s v="USR-100924"/>
    <d v="2025-03-12T00:00:00"/>
    <x v="1"/>
    <x v="1"/>
    <x v="1"/>
    <x v="0"/>
    <s v="Basic"/>
    <n v="1"/>
    <n v="0"/>
    <n v="0"/>
    <x v="0"/>
    <n v="0"/>
    <n v="0"/>
    <n v="0"/>
    <m/>
    <n v="48.8"/>
    <m/>
    <n v="0"/>
  </r>
  <r>
    <s v="USR-100925"/>
    <d v="2025-02-24T00:00:00"/>
    <x v="1"/>
    <x v="2"/>
    <x v="1"/>
    <x v="3"/>
    <s v="Free"/>
    <n v="0"/>
    <n v="0"/>
    <n v="0"/>
    <x v="0"/>
    <n v="0"/>
    <n v="0"/>
    <n v="0"/>
    <m/>
    <n v="73.2"/>
    <m/>
    <n v="0"/>
  </r>
  <r>
    <s v="USR-100926"/>
    <d v="2025-01-15T00:00:00"/>
    <x v="1"/>
    <x v="2"/>
    <x v="1"/>
    <x v="3"/>
    <s v="Free"/>
    <n v="1"/>
    <n v="1"/>
    <n v="1"/>
    <x v="0"/>
    <n v="0"/>
    <n v="0"/>
    <n v="0"/>
    <m/>
    <n v="80"/>
    <m/>
    <n v="0"/>
  </r>
  <r>
    <s v="USR-100927"/>
    <d v="2025-01-07T00:00:00"/>
    <x v="1"/>
    <x v="0"/>
    <x v="0"/>
    <x v="2"/>
    <s v="Free"/>
    <n v="1"/>
    <n v="0"/>
    <n v="0"/>
    <x v="0"/>
    <n v="0"/>
    <n v="0"/>
    <n v="0"/>
    <m/>
    <n v="52.3"/>
    <m/>
    <n v="0"/>
  </r>
  <r>
    <s v="USR-100928"/>
    <d v="2025-03-02T00:00:00"/>
    <x v="1"/>
    <x v="0"/>
    <x v="0"/>
    <x v="1"/>
    <s v="Free"/>
    <n v="0"/>
    <n v="0"/>
    <n v="0"/>
    <x v="0"/>
    <n v="0"/>
    <n v="0"/>
    <n v="0"/>
    <m/>
    <n v="49.1"/>
    <m/>
    <n v="0"/>
  </r>
  <r>
    <s v="USR-100929"/>
    <d v="2025-01-05T00:00:00"/>
    <x v="1"/>
    <x v="3"/>
    <x v="0"/>
    <x v="3"/>
    <s v="Basic"/>
    <n v="0"/>
    <n v="0"/>
    <n v="0"/>
    <x v="0"/>
    <n v="0"/>
    <n v="0"/>
    <n v="0"/>
    <m/>
    <n v="45.3"/>
    <m/>
    <n v="0"/>
  </r>
  <r>
    <s v="USR-100930"/>
    <d v="2025-03-03T00:00:00"/>
    <x v="1"/>
    <x v="3"/>
    <x v="1"/>
    <x v="1"/>
    <s v="Free"/>
    <n v="1"/>
    <n v="1"/>
    <n v="0"/>
    <x v="0"/>
    <n v="0"/>
    <n v="0"/>
    <n v="0"/>
    <m/>
    <n v="49.1"/>
    <m/>
    <n v="0"/>
  </r>
  <r>
    <s v="USR-100931"/>
    <d v="2025-03-31T00:00:00"/>
    <x v="1"/>
    <x v="2"/>
    <x v="0"/>
    <x v="3"/>
    <s v="Free"/>
    <n v="1"/>
    <n v="1"/>
    <n v="1"/>
    <x v="1"/>
    <n v="476.44"/>
    <n v="0"/>
    <n v="0"/>
    <n v="3"/>
    <n v="88.6"/>
    <m/>
    <n v="0"/>
  </r>
  <r>
    <s v="USR-100932"/>
    <d v="2025-01-14T00:00:00"/>
    <x v="1"/>
    <x v="2"/>
    <x v="0"/>
    <x v="2"/>
    <s v="Premium"/>
    <n v="0"/>
    <n v="0"/>
    <n v="0"/>
    <x v="0"/>
    <n v="0"/>
    <n v="1"/>
    <n v="0"/>
    <m/>
    <n v="54.4"/>
    <m/>
    <n v="1"/>
  </r>
  <r>
    <s v="USR-100933"/>
    <d v="2025-01-15T00:00:00"/>
    <x v="1"/>
    <x v="1"/>
    <x v="0"/>
    <x v="2"/>
    <s v="Premium"/>
    <n v="1"/>
    <n v="0"/>
    <n v="0"/>
    <x v="0"/>
    <n v="0"/>
    <n v="0"/>
    <n v="0"/>
    <m/>
    <n v="72.900000000000006"/>
    <m/>
    <n v="0"/>
  </r>
  <r>
    <s v="USR-100934"/>
    <d v="2025-04-25T00:00:00"/>
    <x v="1"/>
    <x v="1"/>
    <x v="0"/>
    <x v="1"/>
    <s v="Free"/>
    <n v="1"/>
    <n v="0"/>
    <n v="0"/>
    <x v="0"/>
    <n v="0"/>
    <n v="0"/>
    <n v="0"/>
    <m/>
    <n v="53.2"/>
    <m/>
    <n v="0"/>
  </r>
  <r>
    <s v="USR-100935"/>
    <d v="2025-03-21T00:00:00"/>
    <x v="1"/>
    <x v="2"/>
    <x v="1"/>
    <x v="1"/>
    <s v="Basic"/>
    <n v="1"/>
    <n v="1"/>
    <n v="0"/>
    <x v="0"/>
    <n v="0"/>
    <n v="0"/>
    <n v="0"/>
    <m/>
    <n v="48.7"/>
    <m/>
    <n v="0"/>
  </r>
  <r>
    <s v="USR-100936"/>
    <d v="2025-04-26T00:00:00"/>
    <x v="1"/>
    <x v="3"/>
    <x v="1"/>
    <x v="2"/>
    <s v="Basic"/>
    <n v="1"/>
    <n v="1"/>
    <n v="1"/>
    <x v="0"/>
    <n v="0"/>
    <n v="0"/>
    <n v="0"/>
    <m/>
    <n v="59.9"/>
    <m/>
    <n v="0"/>
  </r>
  <r>
    <s v="USR-100937"/>
    <d v="2025-05-21T00:00:00"/>
    <x v="1"/>
    <x v="3"/>
    <x v="0"/>
    <x v="5"/>
    <s v="Basic"/>
    <n v="0"/>
    <n v="0"/>
    <n v="0"/>
    <x v="0"/>
    <n v="0"/>
    <n v="0"/>
    <n v="0"/>
    <m/>
    <n v="82"/>
    <m/>
    <n v="0"/>
  </r>
  <r>
    <s v="USR-100938"/>
    <d v="2025-04-18T00:00:00"/>
    <x v="1"/>
    <x v="2"/>
    <x v="1"/>
    <x v="2"/>
    <s v="Free"/>
    <n v="0"/>
    <n v="0"/>
    <n v="0"/>
    <x v="0"/>
    <n v="0"/>
    <n v="0"/>
    <n v="0"/>
    <m/>
    <n v="72.099999999999994"/>
    <m/>
    <n v="0"/>
  </r>
  <r>
    <s v="USR-100939"/>
    <d v="2025-01-29T00:00:00"/>
    <x v="1"/>
    <x v="0"/>
    <x v="0"/>
    <x v="0"/>
    <s v="Premium"/>
    <n v="1"/>
    <n v="1"/>
    <n v="0"/>
    <x v="0"/>
    <n v="0"/>
    <n v="0"/>
    <n v="0"/>
    <m/>
    <n v="68.3"/>
    <m/>
    <n v="0"/>
  </r>
  <r>
    <s v="USR-100940"/>
    <d v="2025-05-28T00:00:00"/>
    <x v="1"/>
    <x v="1"/>
    <x v="1"/>
    <x v="1"/>
    <s v="Premium"/>
    <n v="0"/>
    <n v="0"/>
    <n v="0"/>
    <x v="0"/>
    <n v="0"/>
    <n v="0"/>
    <n v="0"/>
    <m/>
    <n v="100"/>
    <m/>
    <n v="0"/>
  </r>
  <r>
    <s v="USR-100941"/>
    <d v="2025-01-15T00:00:00"/>
    <x v="1"/>
    <x v="2"/>
    <x v="1"/>
    <x v="0"/>
    <s v="Free"/>
    <n v="1"/>
    <n v="1"/>
    <n v="1"/>
    <x v="0"/>
    <n v="0"/>
    <n v="2"/>
    <n v="0"/>
    <m/>
    <n v="76.5"/>
    <m/>
    <n v="1"/>
  </r>
  <r>
    <s v="USR-100942"/>
    <d v="2025-01-03T00:00:00"/>
    <x v="1"/>
    <x v="3"/>
    <x v="1"/>
    <x v="1"/>
    <s v="Basic"/>
    <n v="1"/>
    <n v="1"/>
    <n v="0"/>
    <x v="0"/>
    <n v="0"/>
    <n v="0"/>
    <n v="0"/>
    <m/>
    <n v="62"/>
    <m/>
    <n v="0"/>
  </r>
  <r>
    <s v="USR-100943"/>
    <d v="2025-02-04T00:00:00"/>
    <x v="1"/>
    <x v="3"/>
    <x v="1"/>
    <x v="2"/>
    <s v="Free"/>
    <n v="1"/>
    <n v="1"/>
    <n v="1"/>
    <x v="1"/>
    <n v="324.68"/>
    <n v="1"/>
    <n v="0"/>
    <n v="7"/>
    <n v="50.1"/>
    <m/>
    <n v="1"/>
  </r>
  <r>
    <s v="USR-100944"/>
    <d v="2025-02-22T00:00:00"/>
    <x v="1"/>
    <x v="3"/>
    <x v="1"/>
    <x v="3"/>
    <s v="Premium"/>
    <n v="1"/>
    <n v="0"/>
    <n v="0"/>
    <x v="0"/>
    <n v="0"/>
    <n v="0"/>
    <n v="0"/>
    <m/>
    <n v="62.1"/>
    <m/>
    <n v="0"/>
  </r>
  <r>
    <s v="USR-100945"/>
    <d v="2025-05-06T00:00:00"/>
    <x v="1"/>
    <x v="1"/>
    <x v="1"/>
    <x v="1"/>
    <s v="Basic"/>
    <n v="1"/>
    <n v="0"/>
    <n v="0"/>
    <x v="0"/>
    <n v="0"/>
    <n v="0"/>
    <n v="0"/>
    <m/>
    <n v="49.7"/>
    <m/>
    <n v="0"/>
  </r>
  <r>
    <s v="USR-100946"/>
    <d v="2025-01-31T00:00:00"/>
    <x v="1"/>
    <x v="3"/>
    <x v="1"/>
    <x v="1"/>
    <s v="Free"/>
    <n v="1"/>
    <n v="0"/>
    <n v="0"/>
    <x v="0"/>
    <n v="0"/>
    <n v="3"/>
    <n v="0"/>
    <m/>
    <n v="71.099999999999994"/>
    <m/>
    <n v="1"/>
  </r>
  <r>
    <s v="USR-100947"/>
    <d v="2025-02-18T00:00:00"/>
    <x v="1"/>
    <x v="0"/>
    <x v="1"/>
    <x v="4"/>
    <s v="Basic"/>
    <n v="0"/>
    <n v="0"/>
    <n v="0"/>
    <x v="0"/>
    <n v="0"/>
    <n v="0"/>
    <n v="0"/>
    <m/>
    <n v="70.8"/>
    <m/>
    <n v="0"/>
  </r>
  <r>
    <s v="USR-100948"/>
    <d v="2025-04-23T00:00:00"/>
    <x v="1"/>
    <x v="2"/>
    <x v="1"/>
    <x v="2"/>
    <s v="Free"/>
    <n v="1"/>
    <n v="1"/>
    <n v="1"/>
    <x v="1"/>
    <n v="301.98"/>
    <n v="0"/>
    <n v="0"/>
    <n v="10"/>
    <n v="52.2"/>
    <m/>
    <n v="0"/>
  </r>
  <r>
    <s v="USR-100949"/>
    <d v="2025-02-06T00:00:00"/>
    <x v="1"/>
    <x v="0"/>
    <x v="1"/>
    <x v="1"/>
    <s v="Free"/>
    <n v="1"/>
    <n v="1"/>
    <n v="1"/>
    <x v="0"/>
    <n v="0"/>
    <n v="0"/>
    <n v="0"/>
    <m/>
    <n v="73"/>
    <m/>
    <n v="0"/>
  </r>
  <r>
    <s v="USR-100950"/>
    <d v="2025-04-26T00:00:00"/>
    <x v="1"/>
    <x v="3"/>
    <x v="0"/>
    <x v="2"/>
    <s v="Free"/>
    <n v="0"/>
    <n v="0"/>
    <n v="0"/>
    <x v="0"/>
    <n v="0"/>
    <n v="0"/>
    <n v="0"/>
    <m/>
    <n v="78.2"/>
    <m/>
    <n v="0"/>
  </r>
  <r>
    <s v="USR-100951"/>
    <d v="2025-03-30T00:00:00"/>
    <x v="1"/>
    <x v="1"/>
    <x v="0"/>
    <x v="2"/>
    <s v="Basic"/>
    <n v="1"/>
    <n v="0"/>
    <n v="0"/>
    <x v="0"/>
    <n v="0"/>
    <n v="0"/>
    <n v="0"/>
    <m/>
    <n v="68.8"/>
    <m/>
    <n v="0"/>
  </r>
  <r>
    <s v="USR-100952"/>
    <d v="2025-04-13T00:00:00"/>
    <x v="1"/>
    <x v="1"/>
    <x v="1"/>
    <x v="5"/>
    <s v="Premium"/>
    <n v="1"/>
    <n v="0"/>
    <n v="0"/>
    <x v="0"/>
    <n v="0"/>
    <n v="0"/>
    <n v="0"/>
    <m/>
    <n v="57.1"/>
    <m/>
    <n v="0"/>
  </r>
  <r>
    <s v="USR-100953"/>
    <d v="2025-04-04T00:00:00"/>
    <x v="1"/>
    <x v="2"/>
    <x v="0"/>
    <x v="1"/>
    <s v="Premium"/>
    <n v="0"/>
    <n v="0"/>
    <n v="0"/>
    <x v="0"/>
    <n v="0"/>
    <n v="1"/>
    <n v="0"/>
    <m/>
    <n v="74.599999999999994"/>
    <m/>
    <n v="1"/>
  </r>
  <r>
    <s v="USR-100954"/>
    <d v="2025-04-03T00:00:00"/>
    <x v="1"/>
    <x v="0"/>
    <x v="0"/>
    <x v="3"/>
    <s v="Free"/>
    <n v="1"/>
    <n v="0"/>
    <n v="0"/>
    <x v="0"/>
    <n v="0"/>
    <n v="1"/>
    <n v="0"/>
    <m/>
    <n v="64.099999999999994"/>
    <m/>
    <n v="1"/>
  </r>
  <r>
    <s v="USR-100955"/>
    <d v="2025-03-14T00:00:00"/>
    <x v="1"/>
    <x v="1"/>
    <x v="1"/>
    <x v="2"/>
    <s v="Premium"/>
    <n v="1"/>
    <n v="0"/>
    <n v="0"/>
    <x v="0"/>
    <n v="0"/>
    <n v="0"/>
    <n v="0"/>
    <m/>
    <n v="67.3"/>
    <m/>
    <n v="0"/>
  </r>
  <r>
    <s v="USR-100956"/>
    <d v="2025-01-14T00:00:00"/>
    <x v="1"/>
    <x v="1"/>
    <x v="1"/>
    <x v="3"/>
    <s v="Free"/>
    <n v="0"/>
    <n v="0"/>
    <n v="0"/>
    <x v="0"/>
    <n v="0"/>
    <n v="2"/>
    <n v="0"/>
    <m/>
    <n v="41"/>
    <m/>
    <n v="1"/>
  </r>
  <r>
    <s v="USR-100957"/>
    <d v="2025-05-05T00:00:00"/>
    <x v="1"/>
    <x v="1"/>
    <x v="1"/>
    <x v="2"/>
    <s v="Free"/>
    <n v="0"/>
    <n v="0"/>
    <n v="0"/>
    <x v="0"/>
    <n v="0"/>
    <n v="0"/>
    <n v="0"/>
    <m/>
    <n v="48.1"/>
    <m/>
    <n v="0"/>
  </r>
  <r>
    <s v="USR-100958"/>
    <d v="2025-05-02T00:00:00"/>
    <x v="1"/>
    <x v="1"/>
    <x v="0"/>
    <x v="4"/>
    <s v="Free"/>
    <n v="0"/>
    <n v="0"/>
    <n v="0"/>
    <x v="0"/>
    <n v="0"/>
    <n v="1"/>
    <n v="0"/>
    <m/>
    <n v="60.8"/>
    <m/>
    <n v="1"/>
  </r>
  <r>
    <s v="USR-100959"/>
    <d v="2025-05-21T00:00:00"/>
    <x v="1"/>
    <x v="2"/>
    <x v="1"/>
    <x v="1"/>
    <s v="Free"/>
    <n v="1"/>
    <n v="0"/>
    <n v="0"/>
    <x v="0"/>
    <n v="0"/>
    <n v="0"/>
    <n v="0"/>
    <m/>
    <n v="63.1"/>
    <m/>
    <n v="0"/>
  </r>
  <r>
    <s v="USR-100960"/>
    <d v="2025-05-16T00:00:00"/>
    <x v="1"/>
    <x v="0"/>
    <x v="1"/>
    <x v="3"/>
    <s v="Premium"/>
    <n v="1"/>
    <n v="0"/>
    <n v="0"/>
    <x v="0"/>
    <n v="0"/>
    <n v="2"/>
    <n v="0"/>
    <m/>
    <n v="49.7"/>
    <m/>
    <n v="1"/>
  </r>
  <r>
    <s v="USR-100961"/>
    <d v="2025-05-24T00:00:00"/>
    <x v="1"/>
    <x v="2"/>
    <x v="0"/>
    <x v="1"/>
    <s v="Premium"/>
    <n v="1"/>
    <n v="1"/>
    <n v="1"/>
    <x v="0"/>
    <n v="0"/>
    <n v="1"/>
    <n v="0"/>
    <m/>
    <n v="83.4"/>
    <m/>
    <n v="1"/>
  </r>
  <r>
    <s v="USR-100962"/>
    <d v="2025-03-18T00:00:00"/>
    <x v="1"/>
    <x v="2"/>
    <x v="1"/>
    <x v="1"/>
    <s v="Basic"/>
    <n v="1"/>
    <n v="0"/>
    <n v="0"/>
    <x v="0"/>
    <n v="0"/>
    <n v="0"/>
    <n v="0"/>
    <m/>
    <n v="75.900000000000006"/>
    <m/>
    <n v="0"/>
  </r>
  <r>
    <s v="USR-100963"/>
    <d v="2025-01-11T00:00:00"/>
    <x v="1"/>
    <x v="2"/>
    <x v="0"/>
    <x v="2"/>
    <s v="Free"/>
    <n v="0"/>
    <n v="0"/>
    <n v="0"/>
    <x v="0"/>
    <n v="0"/>
    <n v="1"/>
    <n v="0"/>
    <m/>
    <n v="71.8"/>
    <m/>
    <n v="1"/>
  </r>
  <r>
    <s v="USR-100964"/>
    <d v="2025-02-09T00:00:00"/>
    <x v="1"/>
    <x v="3"/>
    <x v="1"/>
    <x v="1"/>
    <s v="Basic"/>
    <n v="0"/>
    <n v="0"/>
    <n v="0"/>
    <x v="0"/>
    <n v="0"/>
    <n v="0"/>
    <n v="0"/>
    <m/>
    <n v="37.9"/>
    <m/>
    <n v="0"/>
  </r>
  <r>
    <s v="USR-100965"/>
    <d v="2025-03-01T00:00:00"/>
    <x v="1"/>
    <x v="0"/>
    <x v="0"/>
    <x v="4"/>
    <s v="Free"/>
    <n v="1"/>
    <n v="0"/>
    <n v="0"/>
    <x v="0"/>
    <n v="0"/>
    <n v="0"/>
    <n v="0"/>
    <m/>
    <n v="59.8"/>
    <m/>
    <n v="0"/>
  </r>
  <r>
    <s v="USR-100966"/>
    <d v="2025-05-07T00:00:00"/>
    <x v="1"/>
    <x v="0"/>
    <x v="1"/>
    <x v="1"/>
    <s v="Basic"/>
    <n v="0"/>
    <n v="0"/>
    <n v="0"/>
    <x v="0"/>
    <n v="0"/>
    <n v="0"/>
    <n v="0"/>
    <m/>
    <n v="66.900000000000006"/>
    <m/>
    <n v="0"/>
  </r>
  <r>
    <s v="USR-100967"/>
    <d v="2025-02-19T00:00:00"/>
    <x v="1"/>
    <x v="3"/>
    <x v="0"/>
    <x v="5"/>
    <s v="Free"/>
    <n v="1"/>
    <n v="0"/>
    <n v="0"/>
    <x v="0"/>
    <n v="0"/>
    <n v="0"/>
    <n v="0"/>
    <m/>
    <n v="59"/>
    <m/>
    <n v="0"/>
  </r>
  <r>
    <s v="USR-100968"/>
    <d v="2025-02-26T00:00:00"/>
    <x v="1"/>
    <x v="1"/>
    <x v="1"/>
    <x v="1"/>
    <s v="Premium"/>
    <n v="1"/>
    <n v="0"/>
    <n v="0"/>
    <x v="0"/>
    <n v="0"/>
    <n v="0"/>
    <n v="0"/>
    <m/>
    <n v="80.099999999999994"/>
    <m/>
    <n v="0"/>
  </r>
  <r>
    <s v="USR-100969"/>
    <d v="2025-03-23T00:00:00"/>
    <x v="1"/>
    <x v="3"/>
    <x v="1"/>
    <x v="4"/>
    <s v="Free"/>
    <n v="0"/>
    <n v="0"/>
    <n v="0"/>
    <x v="0"/>
    <n v="0"/>
    <n v="0"/>
    <n v="0"/>
    <m/>
    <n v="64.3"/>
    <m/>
    <n v="0"/>
  </r>
  <r>
    <s v="USR-100970"/>
    <d v="2025-04-25T00:00:00"/>
    <x v="1"/>
    <x v="3"/>
    <x v="0"/>
    <x v="4"/>
    <s v="Free"/>
    <n v="0"/>
    <n v="0"/>
    <n v="0"/>
    <x v="0"/>
    <n v="0"/>
    <n v="1"/>
    <n v="0"/>
    <m/>
    <n v="57.4"/>
    <m/>
    <n v="1"/>
  </r>
  <r>
    <s v="USR-100971"/>
    <d v="2025-05-10T00:00:00"/>
    <x v="1"/>
    <x v="0"/>
    <x v="0"/>
    <x v="4"/>
    <s v="Free"/>
    <n v="1"/>
    <n v="1"/>
    <n v="1"/>
    <x v="0"/>
    <n v="0"/>
    <n v="0"/>
    <n v="0"/>
    <m/>
    <n v="83.6"/>
    <m/>
    <n v="0"/>
  </r>
  <r>
    <s v="USR-100972"/>
    <d v="2025-04-22T00:00:00"/>
    <x v="1"/>
    <x v="2"/>
    <x v="1"/>
    <x v="2"/>
    <s v="Premium"/>
    <n v="0"/>
    <n v="0"/>
    <n v="0"/>
    <x v="0"/>
    <n v="0"/>
    <n v="0"/>
    <n v="0"/>
    <m/>
    <n v="45.8"/>
    <m/>
    <n v="0"/>
  </r>
  <r>
    <s v="USR-100973"/>
    <d v="2025-02-18T00:00:00"/>
    <x v="1"/>
    <x v="1"/>
    <x v="1"/>
    <x v="3"/>
    <s v="Basic"/>
    <n v="1"/>
    <n v="1"/>
    <n v="1"/>
    <x v="0"/>
    <n v="0"/>
    <n v="0"/>
    <n v="0"/>
    <m/>
    <n v="64.3"/>
    <m/>
    <n v="0"/>
  </r>
  <r>
    <s v="USR-100974"/>
    <d v="2025-01-26T00:00:00"/>
    <x v="1"/>
    <x v="3"/>
    <x v="1"/>
    <x v="2"/>
    <s v="Premium"/>
    <n v="1"/>
    <n v="1"/>
    <n v="1"/>
    <x v="0"/>
    <n v="0"/>
    <n v="0"/>
    <n v="0"/>
    <m/>
    <n v="80.5"/>
    <m/>
    <n v="0"/>
  </r>
  <r>
    <s v="USR-100975"/>
    <d v="2025-04-28T00:00:00"/>
    <x v="1"/>
    <x v="0"/>
    <x v="1"/>
    <x v="1"/>
    <s v="Free"/>
    <n v="1"/>
    <n v="0"/>
    <n v="0"/>
    <x v="0"/>
    <n v="0"/>
    <n v="0"/>
    <n v="0"/>
    <m/>
    <n v="46.3"/>
    <m/>
    <n v="0"/>
  </r>
  <r>
    <s v="USR-100976"/>
    <d v="2025-04-02T00:00:00"/>
    <x v="1"/>
    <x v="3"/>
    <x v="0"/>
    <x v="0"/>
    <s v="Basic"/>
    <n v="1"/>
    <n v="0"/>
    <n v="0"/>
    <x v="0"/>
    <n v="0"/>
    <n v="0"/>
    <n v="0"/>
    <m/>
    <n v="71.599999999999994"/>
    <m/>
    <n v="0"/>
  </r>
  <r>
    <s v="USR-100977"/>
    <d v="2025-04-12T00:00:00"/>
    <x v="1"/>
    <x v="3"/>
    <x v="0"/>
    <x v="0"/>
    <s v="Premium"/>
    <n v="1"/>
    <n v="1"/>
    <n v="0"/>
    <x v="0"/>
    <n v="0"/>
    <n v="0"/>
    <n v="0"/>
    <m/>
    <n v="57.8"/>
    <m/>
    <n v="0"/>
  </r>
  <r>
    <s v="USR-100978"/>
    <d v="2025-01-03T00:00:00"/>
    <x v="1"/>
    <x v="1"/>
    <x v="0"/>
    <x v="0"/>
    <s v="Basic"/>
    <n v="1"/>
    <n v="1"/>
    <n v="1"/>
    <x v="0"/>
    <n v="0"/>
    <n v="1"/>
    <n v="0"/>
    <m/>
    <n v="57.8"/>
    <m/>
    <n v="1"/>
  </r>
  <r>
    <s v="USR-100979"/>
    <d v="2025-05-08T00:00:00"/>
    <x v="1"/>
    <x v="0"/>
    <x v="1"/>
    <x v="2"/>
    <s v="Free"/>
    <n v="1"/>
    <n v="0"/>
    <n v="0"/>
    <x v="0"/>
    <n v="0"/>
    <n v="0"/>
    <n v="0"/>
    <m/>
    <n v="38.299999999999997"/>
    <m/>
    <n v="0"/>
  </r>
  <r>
    <s v="USR-100980"/>
    <d v="2025-02-20T00:00:00"/>
    <x v="1"/>
    <x v="0"/>
    <x v="1"/>
    <x v="3"/>
    <s v="Premium"/>
    <n v="1"/>
    <n v="0"/>
    <n v="0"/>
    <x v="0"/>
    <n v="0"/>
    <n v="1"/>
    <n v="0"/>
    <m/>
    <n v="66.099999999999994"/>
    <m/>
    <n v="1"/>
  </r>
  <r>
    <s v="USR-100981"/>
    <d v="2025-03-17T00:00:00"/>
    <x v="1"/>
    <x v="0"/>
    <x v="0"/>
    <x v="2"/>
    <s v="Premium"/>
    <n v="1"/>
    <n v="0"/>
    <n v="0"/>
    <x v="0"/>
    <n v="0"/>
    <n v="0"/>
    <n v="0"/>
    <m/>
    <n v="66.5"/>
    <m/>
    <n v="0"/>
  </r>
  <r>
    <s v="USR-100982"/>
    <d v="2025-04-10T00:00:00"/>
    <x v="1"/>
    <x v="3"/>
    <x v="0"/>
    <x v="0"/>
    <s v="Free"/>
    <n v="1"/>
    <n v="0"/>
    <n v="0"/>
    <x v="0"/>
    <n v="0"/>
    <n v="3"/>
    <n v="0"/>
    <m/>
    <n v="51.5"/>
    <m/>
    <n v="1"/>
  </r>
  <r>
    <s v="USR-100983"/>
    <d v="2025-05-08T00:00:00"/>
    <x v="1"/>
    <x v="0"/>
    <x v="0"/>
    <x v="3"/>
    <s v="Free"/>
    <n v="1"/>
    <n v="0"/>
    <n v="0"/>
    <x v="0"/>
    <n v="0"/>
    <n v="0"/>
    <n v="0"/>
    <m/>
    <n v="59.9"/>
    <m/>
    <n v="0"/>
  </r>
  <r>
    <s v="USR-100984"/>
    <d v="2025-04-19T00:00:00"/>
    <x v="1"/>
    <x v="1"/>
    <x v="1"/>
    <x v="2"/>
    <s v="Basic"/>
    <n v="1"/>
    <n v="0"/>
    <n v="0"/>
    <x v="0"/>
    <n v="0"/>
    <n v="0"/>
    <n v="0"/>
    <m/>
    <n v="58.8"/>
    <m/>
    <n v="0"/>
  </r>
  <r>
    <s v="USR-100985"/>
    <d v="2025-01-01T00:00:00"/>
    <x v="1"/>
    <x v="3"/>
    <x v="2"/>
    <x v="2"/>
    <s v="Basic"/>
    <n v="1"/>
    <n v="0"/>
    <n v="0"/>
    <x v="0"/>
    <n v="0"/>
    <n v="0"/>
    <n v="0"/>
    <m/>
    <n v="69.599999999999994"/>
    <m/>
    <n v="0"/>
  </r>
  <r>
    <s v="USR-100986"/>
    <d v="2025-03-10T00:00:00"/>
    <x v="1"/>
    <x v="2"/>
    <x v="1"/>
    <x v="2"/>
    <s v="Free"/>
    <n v="1"/>
    <n v="0"/>
    <n v="0"/>
    <x v="0"/>
    <n v="0"/>
    <n v="0"/>
    <n v="0"/>
    <m/>
    <n v="77.5"/>
    <m/>
    <n v="0"/>
  </r>
  <r>
    <s v="USR-100987"/>
    <d v="2025-03-10T00:00:00"/>
    <x v="1"/>
    <x v="2"/>
    <x v="2"/>
    <x v="4"/>
    <s v="Premium"/>
    <n v="0"/>
    <n v="0"/>
    <n v="0"/>
    <x v="0"/>
    <n v="0"/>
    <n v="2"/>
    <n v="0"/>
    <m/>
    <n v="57.5"/>
    <m/>
    <n v="1"/>
  </r>
  <r>
    <s v="USR-100988"/>
    <d v="2025-04-19T00:00:00"/>
    <x v="1"/>
    <x v="1"/>
    <x v="2"/>
    <x v="0"/>
    <s v="Basic"/>
    <n v="1"/>
    <n v="0"/>
    <n v="0"/>
    <x v="0"/>
    <n v="0"/>
    <n v="0"/>
    <n v="0"/>
    <m/>
    <n v="64.2"/>
    <m/>
    <n v="0"/>
  </r>
  <r>
    <s v="USR-100989"/>
    <d v="2025-04-11T00:00:00"/>
    <x v="1"/>
    <x v="1"/>
    <x v="0"/>
    <x v="1"/>
    <s v="Free"/>
    <n v="0"/>
    <n v="0"/>
    <n v="0"/>
    <x v="0"/>
    <n v="0"/>
    <n v="0"/>
    <n v="0"/>
    <m/>
    <n v="60"/>
    <m/>
    <n v="0"/>
  </r>
  <r>
    <s v="USR-100990"/>
    <d v="2025-04-10T00:00:00"/>
    <x v="1"/>
    <x v="2"/>
    <x v="1"/>
    <x v="1"/>
    <s v="Basic"/>
    <n v="1"/>
    <n v="0"/>
    <n v="0"/>
    <x v="0"/>
    <n v="0"/>
    <n v="1"/>
    <n v="0"/>
    <m/>
    <n v="43.7"/>
    <m/>
    <n v="1"/>
  </r>
  <r>
    <s v="USR-100991"/>
    <d v="2025-01-13T00:00:00"/>
    <x v="1"/>
    <x v="1"/>
    <x v="0"/>
    <x v="4"/>
    <s v="Free"/>
    <n v="1"/>
    <n v="0"/>
    <n v="0"/>
    <x v="0"/>
    <n v="0"/>
    <n v="0"/>
    <n v="0"/>
    <m/>
    <n v="64.900000000000006"/>
    <m/>
    <n v="0"/>
  </r>
  <r>
    <s v="USR-100992"/>
    <d v="2025-03-28T00:00:00"/>
    <x v="1"/>
    <x v="3"/>
    <x v="0"/>
    <x v="1"/>
    <s v="Free"/>
    <n v="1"/>
    <n v="1"/>
    <n v="0"/>
    <x v="0"/>
    <n v="0"/>
    <n v="0"/>
    <n v="0"/>
    <m/>
    <n v="45.5"/>
    <m/>
    <n v="0"/>
  </r>
  <r>
    <s v="USR-100993"/>
    <d v="2025-01-29T00:00:00"/>
    <x v="1"/>
    <x v="2"/>
    <x v="1"/>
    <x v="2"/>
    <s v="Free"/>
    <n v="1"/>
    <n v="1"/>
    <n v="1"/>
    <x v="1"/>
    <n v="1772.97"/>
    <n v="0"/>
    <n v="0"/>
    <n v="8"/>
    <n v="61.2"/>
    <m/>
    <n v="0"/>
  </r>
  <r>
    <s v="USR-100994"/>
    <d v="2025-03-27T00:00:00"/>
    <x v="1"/>
    <x v="3"/>
    <x v="1"/>
    <x v="3"/>
    <s v="Free"/>
    <n v="0"/>
    <n v="0"/>
    <n v="0"/>
    <x v="0"/>
    <n v="0"/>
    <n v="0"/>
    <n v="0"/>
    <m/>
    <n v="87.8"/>
    <m/>
    <n v="0"/>
  </r>
  <r>
    <s v="USR-100995"/>
    <d v="2025-03-20T00:00:00"/>
    <x v="1"/>
    <x v="2"/>
    <x v="2"/>
    <x v="4"/>
    <s v="Free"/>
    <n v="0"/>
    <n v="0"/>
    <n v="0"/>
    <x v="0"/>
    <n v="0"/>
    <n v="0"/>
    <n v="0"/>
    <m/>
    <n v="86.4"/>
    <m/>
    <n v="0"/>
  </r>
  <r>
    <s v="USR-100996"/>
    <d v="2025-01-09T00:00:00"/>
    <x v="1"/>
    <x v="0"/>
    <x v="1"/>
    <x v="2"/>
    <s v="Basic"/>
    <n v="0"/>
    <n v="0"/>
    <n v="0"/>
    <x v="0"/>
    <n v="0"/>
    <n v="1"/>
    <n v="0"/>
    <m/>
    <n v="71.400000000000006"/>
    <m/>
    <n v="1"/>
  </r>
  <r>
    <s v="USR-100997"/>
    <d v="2025-04-25T00:00:00"/>
    <x v="1"/>
    <x v="1"/>
    <x v="1"/>
    <x v="4"/>
    <s v="Free"/>
    <n v="1"/>
    <n v="1"/>
    <n v="1"/>
    <x v="1"/>
    <n v="218.66"/>
    <n v="0"/>
    <n v="1"/>
    <n v="8"/>
    <n v="72.2"/>
    <m/>
    <n v="0"/>
  </r>
  <r>
    <s v="USR-100998"/>
    <d v="2025-04-11T00:00:00"/>
    <x v="1"/>
    <x v="3"/>
    <x v="0"/>
    <x v="4"/>
    <s v="Free"/>
    <n v="1"/>
    <n v="0"/>
    <n v="0"/>
    <x v="0"/>
    <n v="0"/>
    <n v="0"/>
    <n v="0"/>
    <m/>
    <n v="51.9"/>
    <m/>
    <n v="0"/>
  </r>
  <r>
    <s v="USR-100999"/>
    <d v="2025-02-05T00:00:00"/>
    <x v="1"/>
    <x v="2"/>
    <x v="1"/>
    <x v="4"/>
    <s v="Basic"/>
    <n v="1"/>
    <n v="1"/>
    <n v="1"/>
    <x v="0"/>
    <n v="0"/>
    <n v="0"/>
    <n v="0"/>
    <m/>
    <n v="70.3"/>
    <m/>
    <n v="0"/>
  </r>
  <r>
    <s v="USR-101000"/>
    <d v="2025-03-28T00:00:00"/>
    <x v="1"/>
    <x v="3"/>
    <x v="1"/>
    <x v="4"/>
    <s v="Premium"/>
    <n v="1"/>
    <n v="0"/>
    <n v="0"/>
    <x v="0"/>
    <n v="0"/>
    <n v="1"/>
    <n v="0"/>
    <m/>
    <n v="49.2"/>
    <m/>
    <n v="1"/>
  </r>
  <r>
    <s v="USR-101001"/>
    <d v="2025-05-14T00:00:00"/>
    <x v="1"/>
    <x v="3"/>
    <x v="1"/>
    <x v="3"/>
    <s v="Free"/>
    <n v="0"/>
    <n v="0"/>
    <n v="0"/>
    <x v="0"/>
    <n v="0"/>
    <n v="0"/>
    <n v="0"/>
    <m/>
    <n v="52.2"/>
    <m/>
    <n v="0"/>
  </r>
  <r>
    <s v="USR-101002"/>
    <d v="2025-03-10T00:00:00"/>
    <x v="1"/>
    <x v="2"/>
    <x v="1"/>
    <x v="2"/>
    <s v="Basic"/>
    <n v="0"/>
    <n v="0"/>
    <n v="0"/>
    <x v="0"/>
    <n v="0"/>
    <n v="1"/>
    <n v="0"/>
    <m/>
    <n v="62.6"/>
    <m/>
    <n v="1"/>
  </r>
  <r>
    <s v="USR-101003"/>
    <d v="2025-04-09T00:00:00"/>
    <x v="1"/>
    <x v="2"/>
    <x v="0"/>
    <x v="2"/>
    <s v="Free"/>
    <n v="1"/>
    <n v="1"/>
    <n v="0"/>
    <x v="0"/>
    <n v="0"/>
    <n v="0"/>
    <n v="0"/>
    <m/>
    <n v="100"/>
    <m/>
    <n v="0"/>
  </r>
  <r>
    <s v="USR-101004"/>
    <d v="2025-02-13T00:00:00"/>
    <x v="1"/>
    <x v="0"/>
    <x v="1"/>
    <x v="3"/>
    <s v="Basic"/>
    <n v="1"/>
    <n v="1"/>
    <n v="1"/>
    <x v="0"/>
    <n v="0"/>
    <n v="2"/>
    <n v="0"/>
    <m/>
    <n v="45.9"/>
    <m/>
    <n v="1"/>
  </r>
  <r>
    <s v="USR-101005"/>
    <d v="2025-05-03T00:00:00"/>
    <x v="1"/>
    <x v="2"/>
    <x v="1"/>
    <x v="0"/>
    <s v="Free"/>
    <n v="1"/>
    <n v="1"/>
    <n v="1"/>
    <x v="0"/>
    <n v="0"/>
    <n v="0"/>
    <n v="0"/>
    <m/>
    <n v="80.7"/>
    <m/>
    <n v="0"/>
  </r>
  <r>
    <s v="USR-101006"/>
    <d v="2025-04-16T00:00:00"/>
    <x v="1"/>
    <x v="3"/>
    <x v="0"/>
    <x v="3"/>
    <s v="Premium"/>
    <n v="1"/>
    <n v="0"/>
    <n v="0"/>
    <x v="0"/>
    <n v="0"/>
    <n v="0"/>
    <n v="0"/>
    <m/>
    <n v="51.9"/>
    <m/>
    <n v="0"/>
  </r>
  <r>
    <s v="USR-101007"/>
    <d v="2025-04-30T00:00:00"/>
    <x v="1"/>
    <x v="0"/>
    <x v="1"/>
    <x v="2"/>
    <s v="Premium"/>
    <n v="1"/>
    <n v="0"/>
    <n v="0"/>
    <x v="0"/>
    <n v="0"/>
    <n v="0"/>
    <n v="0"/>
    <m/>
    <n v="68.900000000000006"/>
    <m/>
    <n v="0"/>
  </r>
  <r>
    <s v="USR-101008"/>
    <d v="2025-02-18T00:00:00"/>
    <x v="1"/>
    <x v="1"/>
    <x v="0"/>
    <x v="1"/>
    <s v="Free"/>
    <n v="1"/>
    <n v="0"/>
    <n v="0"/>
    <x v="0"/>
    <n v="0"/>
    <n v="0"/>
    <n v="0"/>
    <m/>
    <n v="66"/>
    <m/>
    <n v="0"/>
  </r>
  <r>
    <s v="USR-101009"/>
    <d v="2025-05-22T00:00:00"/>
    <x v="1"/>
    <x v="1"/>
    <x v="0"/>
    <x v="3"/>
    <s v="Basic"/>
    <n v="0"/>
    <n v="0"/>
    <n v="0"/>
    <x v="0"/>
    <n v="0"/>
    <n v="0"/>
    <n v="0"/>
    <m/>
    <n v="63.1"/>
    <m/>
    <n v="0"/>
  </r>
  <r>
    <s v="USR-101010"/>
    <d v="2025-05-21T00:00:00"/>
    <x v="1"/>
    <x v="3"/>
    <x v="0"/>
    <x v="1"/>
    <s v="Free"/>
    <n v="0"/>
    <n v="0"/>
    <n v="0"/>
    <x v="0"/>
    <n v="0"/>
    <n v="0"/>
    <n v="0"/>
    <m/>
    <n v="56"/>
    <m/>
    <n v="0"/>
  </r>
  <r>
    <s v="USR-101011"/>
    <d v="2025-04-10T00:00:00"/>
    <x v="1"/>
    <x v="2"/>
    <x v="0"/>
    <x v="1"/>
    <s v="Free"/>
    <n v="1"/>
    <n v="0"/>
    <n v="0"/>
    <x v="0"/>
    <n v="0"/>
    <n v="1"/>
    <n v="0"/>
    <m/>
    <n v="65.7"/>
    <m/>
    <n v="1"/>
  </r>
  <r>
    <s v="USR-101012"/>
    <d v="2025-01-07T00:00:00"/>
    <x v="1"/>
    <x v="0"/>
    <x v="0"/>
    <x v="1"/>
    <s v="Premium"/>
    <n v="1"/>
    <n v="1"/>
    <n v="1"/>
    <x v="1"/>
    <n v="1938.31"/>
    <n v="1"/>
    <n v="0"/>
    <n v="9"/>
    <n v="60.9"/>
    <m/>
    <n v="1"/>
  </r>
  <r>
    <s v="USR-101013"/>
    <d v="2025-02-03T00:00:00"/>
    <x v="1"/>
    <x v="3"/>
    <x v="0"/>
    <x v="4"/>
    <s v="Free"/>
    <n v="0"/>
    <n v="0"/>
    <n v="0"/>
    <x v="0"/>
    <n v="0"/>
    <n v="0"/>
    <n v="0"/>
    <m/>
    <n v="45.5"/>
    <m/>
    <n v="0"/>
  </r>
  <r>
    <s v="USR-101014"/>
    <d v="2025-05-18T00:00:00"/>
    <x v="1"/>
    <x v="0"/>
    <x v="1"/>
    <x v="2"/>
    <s v="Free"/>
    <n v="1"/>
    <n v="0"/>
    <n v="0"/>
    <x v="0"/>
    <n v="0"/>
    <n v="0"/>
    <n v="0"/>
    <m/>
    <n v="50"/>
    <m/>
    <n v="0"/>
  </r>
  <r>
    <s v="USR-101015"/>
    <d v="2025-01-31T00:00:00"/>
    <x v="1"/>
    <x v="0"/>
    <x v="1"/>
    <x v="3"/>
    <s v="Free"/>
    <n v="1"/>
    <n v="0"/>
    <n v="0"/>
    <x v="0"/>
    <n v="0"/>
    <n v="0"/>
    <n v="0"/>
    <m/>
    <n v="72.099999999999994"/>
    <m/>
    <n v="0"/>
  </r>
  <r>
    <s v="USR-101016"/>
    <d v="2025-01-16T00:00:00"/>
    <x v="1"/>
    <x v="3"/>
    <x v="0"/>
    <x v="1"/>
    <s v="Basic"/>
    <n v="1"/>
    <n v="0"/>
    <n v="0"/>
    <x v="0"/>
    <n v="0"/>
    <n v="0"/>
    <n v="0"/>
    <m/>
    <n v="76.3"/>
    <m/>
    <n v="0"/>
  </r>
  <r>
    <s v="USR-101017"/>
    <d v="2025-05-14T00:00:00"/>
    <x v="1"/>
    <x v="2"/>
    <x v="1"/>
    <x v="2"/>
    <s v="Basic"/>
    <n v="1"/>
    <n v="1"/>
    <n v="0"/>
    <x v="0"/>
    <n v="0"/>
    <n v="1"/>
    <n v="0"/>
    <m/>
    <n v="54.8"/>
    <m/>
    <n v="1"/>
  </r>
  <r>
    <s v="USR-101018"/>
    <d v="2025-04-01T00:00:00"/>
    <x v="1"/>
    <x v="3"/>
    <x v="1"/>
    <x v="5"/>
    <s v="Basic"/>
    <n v="1"/>
    <n v="0"/>
    <n v="0"/>
    <x v="0"/>
    <n v="0"/>
    <n v="0"/>
    <n v="0"/>
    <m/>
    <n v="63.6"/>
    <m/>
    <n v="0"/>
  </r>
  <r>
    <s v="USR-101019"/>
    <d v="2025-04-23T00:00:00"/>
    <x v="1"/>
    <x v="3"/>
    <x v="1"/>
    <x v="1"/>
    <s v="Free"/>
    <n v="1"/>
    <n v="0"/>
    <n v="0"/>
    <x v="0"/>
    <n v="0"/>
    <n v="0"/>
    <n v="0"/>
    <m/>
    <n v="68.8"/>
    <m/>
    <n v="0"/>
  </r>
  <r>
    <s v="USR-101020"/>
    <d v="2025-03-02T00:00:00"/>
    <x v="1"/>
    <x v="3"/>
    <x v="0"/>
    <x v="2"/>
    <s v="Basic"/>
    <n v="1"/>
    <n v="0"/>
    <n v="0"/>
    <x v="0"/>
    <n v="0"/>
    <n v="0"/>
    <n v="0"/>
    <m/>
    <n v="63.2"/>
    <m/>
    <n v="0"/>
  </r>
  <r>
    <s v="USR-101021"/>
    <d v="2025-01-02T00:00:00"/>
    <x v="1"/>
    <x v="2"/>
    <x v="1"/>
    <x v="2"/>
    <s v="Basic"/>
    <n v="0"/>
    <n v="0"/>
    <n v="0"/>
    <x v="0"/>
    <n v="0"/>
    <n v="0"/>
    <n v="0"/>
    <m/>
    <n v="45"/>
    <m/>
    <n v="0"/>
  </r>
  <r>
    <s v="USR-101022"/>
    <d v="2025-05-04T00:00:00"/>
    <x v="1"/>
    <x v="3"/>
    <x v="1"/>
    <x v="1"/>
    <s v="Free"/>
    <n v="1"/>
    <n v="0"/>
    <n v="0"/>
    <x v="0"/>
    <n v="0"/>
    <n v="0"/>
    <n v="0"/>
    <m/>
    <n v="77.400000000000006"/>
    <m/>
    <n v="0"/>
  </r>
  <r>
    <s v="USR-101023"/>
    <d v="2025-01-16T00:00:00"/>
    <x v="1"/>
    <x v="2"/>
    <x v="0"/>
    <x v="2"/>
    <s v="Basic"/>
    <n v="0"/>
    <n v="0"/>
    <n v="0"/>
    <x v="0"/>
    <n v="0"/>
    <n v="0"/>
    <n v="0"/>
    <m/>
    <n v="53.1"/>
    <m/>
    <n v="0"/>
  </r>
  <r>
    <s v="USR-101024"/>
    <d v="2025-02-11T00:00:00"/>
    <x v="1"/>
    <x v="1"/>
    <x v="2"/>
    <x v="2"/>
    <s v="Premium"/>
    <n v="0"/>
    <n v="0"/>
    <n v="0"/>
    <x v="0"/>
    <n v="0"/>
    <n v="0"/>
    <n v="0"/>
    <m/>
    <n v="74"/>
    <m/>
    <n v="0"/>
  </r>
  <r>
    <s v="USR-101025"/>
    <d v="2025-04-03T00:00:00"/>
    <x v="1"/>
    <x v="0"/>
    <x v="1"/>
    <x v="4"/>
    <s v="Premium"/>
    <n v="1"/>
    <n v="1"/>
    <n v="1"/>
    <x v="1"/>
    <n v="1906.23"/>
    <n v="0"/>
    <n v="0"/>
    <n v="4"/>
    <n v="84.6"/>
    <m/>
    <n v="0"/>
  </r>
  <r>
    <s v="USR-101026"/>
    <d v="2025-03-26T00:00:00"/>
    <x v="1"/>
    <x v="2"/>
    <x v="1"/>
    <x v="3"/>
    <s v="Free"/>
    <n v="1"/>
    <n v="0"/>
    <n v="0"/>
    <x v="0"/>
    <n v="0"/>
    <n v="0"/>
    <n v="0"/>
    <m/>
    <n v="57"/>
    <m/>
    <n v="0"/>
  </r>
  <r>
    <s v="USR-101027"/>
    <d v="2025-05-16T00:00:00"/>
    <x v="1"/>
    <x v="3"/>
    <x v="1"/>
    <x v="0"/>
    <s v="Premium"/>
    <n v="0"/>
    <n v="0"/>
    <n v="0"/>
    <x v="0"/>
    <n v="0"/>
    <n v="0"/>
    <n v="0"/>
    <m/>
    <n v="46.3"/>
    <m/>
    <n v="0"/>
  </r>
  <r>
    <s v="USR-101028"/>
    <d v="2025-04-20T00:00:00"/>
    <x v="1"/>
    <x v="1"/>
    <x v="1"/>
    <x v="4"/>
    <s v="Free"/>
    <n v="0"/>
    <n v="0"/>
    <n v="0"/>
    <x v="0"/>
    <n v="0"/>
    <n v="1"/>
    <n v="0"/>
    <m/>
    <n v="64.400000000000006"/>
    <m/>
    <n v="1"/>
  </r>
  <r>
    <s v="USR-101029"/>
    <d v="2025-04-15T00:00:00"/>
    <x v="1"/>
    <x v="1"/>
    <x v="1"/>
    <x v="2"/>
    <s v="Free"/>
    <n v="1"/>
    <n v="0"/>
    <n v="0"/>
    <x v="0"/>
    <n v="0"/>
    <n v="2"/>
    <n v="0"/>
    <m/>
    <n v="61.9"/>
    <m/>
    <n v="1"/>
  </r>
  <r>
    <s v="USR-101030"/>
    <d v="2025-01-24T00:00:00"/>
    <x v="1"/>
    <x v="0"/>
    <x v="1"/>
    <x v="1"/>
    <s v="Premium"/>
    <n v="1"/>
    <n v="1"/>
    <n v="1"/>
    <x v="0"/>
    <n v="0"/>
    <n v="0"/>
    <n v="0"/>
    <m/>
    <n v="93.7"/>
    <m/>
    <n v="0"/>
  </r>
  <r>
    <s v="USR-101031"/>
    <d v="2025-04-11T00:00:00"/>
    <x v="1"/>
    <x v="3"/>
    <x v="1"/>
    <x v="3"/>
    <s v="Basic"/>
    <n v="0"/>
    <n v="0"/>
    <n v="0"/>
    <x v="0"/>
    <n v="0"/>
    <n v="0"/>
    <n v="0"/>
    <m/>
    <n v="61.6"/>
    <m/>
    <n v="0"/>
  </r>
  <r>
    <s v="USR-101032"/>
    <d v="2025-05-19T00:00:00"/>
    <x v="1"/>
    <x v="0"/>
    <x v="1"/>
    <x v="2"/>
    <s v="Free"/>
    <n v="1"/>
    <n v="0"/>
    <n v="0"/>
    <x v="0"/>
    <n v="0"/>
    <n v="0"/>
    <n v="0"/>
    <m/>
    <n v="72.2"/>
    <m/>
    <n v="0"/>
  </r>
  <r>
    <s v="USR-101033"/>
    <d v="2025-01-14T00:00:00"/>
    <x v="1"/>
    <x v="0"/>
    <x v="1"/>
    <x v="1"/>
    <s v="Basic"/>
    <n v="0"/>
    <n v="0"/>
    <n v="0"/>
    <x v="0"/>
    <n v="0"/>
    <n v="0"/>
    <n v="0"/>
    <m/>
    <n v="69.5"/>
    <m/>
    <n v="0"/>
  </r>
  <r>
    <s v="USR-101034"/>
    <d v="2025-02-28T00:00:00"/>
    <x v="1"/>
    <x v="2"/>
    <x v="0"/>
    <x v="1"/>
    <s v="Basic"/>
    <n v="0"/>
    <n v="0"/>
    <n v="0"/>
    <x v="0"/>
    <n v="0"/>
    <n v="0"/>
    <n v="0"/>
    <m/>
    <n v="59.7"/>
    <m/>
    <n v="0"/>
  </r>
  <r>
    <s v="USR-101035"/>
    <d v="2025-05-18T00:00:00"/>
    <x v="1"/>
    <x v="2"/>
    <x v="2"/>
    <x v="2"/>
    <s v="Basic"/>
    <n v="1"/>
    <n v="0"/>
    <n v="0"/>
    <x v="0"/>
    <n v="0"/>
    <n v="0"/>
    <n v="0"/>
    <m/>
    <n v="73.900000000000006"/>
    <m/>
    <n v="0"/>
  </r>
  <r>
    <s v="USR-101036"/>
    <d v="2025-01-04T00:00:00"/>
    <x v="1"/>
    <x v="0"/>
    <x v="1"/>
    <x v="4"/>
    <s v="Free"/>
    <n v="0"/>
    <n v="0"/>
    <n v="0"/>
    <x v="0"/>
    <n v="0"/>
    <n v="0"/>
    <n v="0"/>
    <m/>
    <n v="41.5"/>
    <m/>
    <n v="0"/>
  </r>
  <r>
    <s v="USR-101037"/>
    <d v="2025-01-16T00:00:00"/>
    <x v="1"/>
    <x v="1"/>
    <x v="1"/>
    <x v="4"/>
    <s v="Premium"/>
    <n v="1"/>
    <n v="0"/>
    <n v="0"/>
    <x v="0"/>
    <n v="0"/>
    <n v="0"/>
    <n v="0"/>
    <m/>
    <n v="82.8"/>
    <m/>
    <n v="0"/>
  </r>
  <r>
    <s v="USR-101038"/>
    <d v="2025-03-14T00:00:00"/>
    <x v="1"/>
    <x v="1"/>
    <x v="1"/>
    <x v="4"/>
    <s v="Premium"/>
    <n v="1"/>
    <n v="0"/>
    <n v="0"/>
    <x v="0"/>
    <n v="0"/>
    <n v="3"/>
    <n v="0"/>
    <m/>
    <n v="70.2"/>
    <m/>
    <n v="1"/>
  </r>
  <r>
    <s v="USR-101039"/>
    <d v="2025-01-23T00:00:00"/>
    <x v="1"/>
    <x v="2"/>
    <x v="1"/>
    <x v="2"/>
    <s v="Basic"/>
    <n v="1"/>
    <n v="0"/>
    <n v="0"/>
    <x v="0"/>
    <n v="0"/>
    <n v="1"/>
    <n v="0"/>
    <m/>
    <n v="69.400000000000006"/>
    <m/>
    <n v="1"/>
  </r>
  <r>
    <s v="USR-101040"/>
    <d v="2025-02-03T00:00:00"/>
    <x v="1"/>
    <x v="0"/>
    <x v="0"/>
    <x v="1"/>
    <s v="Basic"/>
    <n v="1"/>
    <n v="0"/>
    <n v="0"/>
    <x v="0"/>
    <n v="0"/>
    <n v="0"/>
    <n v="0"/>
    <m/>
    <n v="60.4"/>
    <m/>
    <n v="0"/>
  </r>
  <r>
    <s v="USR-101041"/>
    <d v="2025-05-16T00:00:00"/>
    <x v="1"/>
    <x v="2"/>
    <x v="1"/>
    <x v="3"/>
    <s v="Free"/>
    <n v="1"/>
    <n v="0"/>
    <n v="0"/>
    <x v="0"/>
    <n v="0"/>
    <n v="0"/>
    <n v="0"/>
    <m/>
    <n v="45.7"/>
    <m/>
    <n v="0"/>
  </r>
  <r>
    <s v="USR-101042"/>
    <d v="2025-01-11T00:00:00"/>
    <x v="1"/>
    <x v="1"/>
    <x v="1"/>
    <x v="1"/>
    <s v="Basic"/>
    <n v="0"/>
    <n v="0"/>
    <n v="0"/>
    <x v="0"/>
    <n v="0"/>
    <n v="1"/>
    <n v="0"/>
    <m/>
    <n v="42.2"/>
    <m/>
    <n v="1"/>
  </r>
  <r>
    <s v="USR-101043"/>
    <d v="2025-05-25T00:00:00"/>
    <x v="1"/>
    <x v="0"/>
    <x v="0"/>
    <x v="1"/>
    <s v="Free"/>
    <n v="0"/>
    <n v="0"/>
    <n v="0"/>
    <x v="0"/>
    <n v="0"/>
    <n v="2"/>
    <n v="0"/>
    <m/>
    <n v="61.9"/>
    <m/>
    <n v="1"/>
  </r>
  <r>
    <s v="USR-101044"/>
    <d v="2025-05-08T00:00:00"/>
    <x v="1"/>
    <x v="2"/>
    <x v="1"/>
    <x v="2"/>
    <s v="Premium"/>
    <n v="0"/>
    <n v="0"/>
    <n v="0"/>
    <x v="0"/>
    <n v="0"/>
    <n v="0"/>
    <n v="0"/>
    <m/>
    <n v="44.9"/>
    <m/>
    <n v="0"/>
  </r>
  <r>
    <s v="USR-101045"/>
    <d v="2025-02-26T00:00:00"/>
    <x v="1"/>
    <x v="2"/>
    <x v="0"/>
    <x v="5"/>
    <s v="Basic"/>
    <n v="1"/>
    <n v="0"/>
    <n v="0"/>
    <x v="0"/>
    <n v="0"/>
    <n v="0"/>
    <n v="0"/>
    <m/>
    <n v="68"/>
    <m/>
    <n v="0"/>
  </r>
  <r>
    <s v="USR-101046"/>
    <d v="2025-03-30T00:00:00"/>
    <x v="1"/>
    <x v="0"/>
    <x v="1"/>
    <x v="2"/>
    <s v="Free"/>
    <n v="1"/>
    <n v="0"/>
    <n v="0"/>
    <x v="0"/>
    <n v="0"/>
    <n v="0"/>
    <n v="0"/>
    <m/>
    <n v="61"/>
    <m/>
    <n v="0"/>
  </r>
  <r>
    <s v="USR-101047"/>
    <d v="2025-04-13T00:00:00"/>
    <x v="1"/>
    <x v="1"/>
    <x v="1"/>
    <x v="1"/>
    <s v="Basic"/>
    <n v="1"/>
    <n v="0"/>
    <n v="0"/>
    <x v="0"/>
    <n v="0"/>
    <n v="0"/>
    <n v="0"/>
    <m/>
    <n v="55"/>
    <m/>
    <n v="0"/>
  </r>
  <r>
    <s v="USR-101048"/>
    <d v="2025-02-20T00:00:00"/>
    <x v="1"/>
    <x v="2"/>
    <x v="3"/>
    <x v="2"/>
    <s v="Basic"/>
    <n v="1"/>
    <n v="0"/>
    <n v="0"/>
    <x v="0"/>
    <n v="0"/>
    <n v="0"/>
    <n v="0"/>
    <m/>
    <n v="63.1"/>
    <m/>
    <n v="0"/>
  </r>
  <r>
    <s v="USR-101049"/>
    <d v="2025-04-19T00:00:00"/>
    <x v="1"/>
    <x v="1"/>
    <x v="0"/>
    <x v="4"/>
    <s v="Free"/>
    <n v="1"/>
    <n v="0"/>
    <n v="0"/>
    <x v="0"/>
    <n v="0"/>
    <n v="0"/>
    <n v="0"/>
    <m/>
    <n v="75.8"/>
    <m/>
    <n v="0"/>
  </r>
  <r>
    <s v="USR-101050"/>
    <d v="2025-03-22T00:00:00"/>
    <x v="1"/>
    <x v="3"/>
    <x v="1"/>
    <x v="2"/>
    <s v="Free"/>
    <n v="1"/>
    <n v="1"/>
    <n v="0"/>
    <x v="0"/>
    <n v="0"/>
    <n v="1"/>
    <n v="0"/>
    <m/>
    <n v="43.8"/>
    <m/>
    <n v="1"/>
  </r>
  <r>
    <s v="USR-101051"/>
    <d v="2025-02-28T00:00:00"/>
    <x v="1"/>
    <x v="0"/>
    <x v="1"/>
    <x v="0"/>
    <s v="Basic"/>
    <n v="1"/>
    <n v="1"/>
    <n v="0"/>
    <x v="0"/>
    <n v="0"/>
    <n v="0"/>
    <n v="0"/>
    <m/>
    <n v="46.8"/>
    <m/>
    <n v="0"/>
  </r>
  <r>
    <s v="USR-101052"/>
    <d v="2025-05-24T00:00:00"/>
    <x v="1"/>
    <x v="2"/>
    <x v="1"/>
    <x v="4"/>
    <s v="Free"/>
    <n v="1"/>
    <n v="1"/>
    <n v="1"/>
    <x v="0"/>
    <n v="0"/>
    <n v="0"/>
    <n v="0"/>
    <m/>
    <n v="97.4"/>
    <m/>
    <n v="0"/>
  </r>
  <r>
    <s v="USR-101053"/>
    <d v="2025-02-03T00:00:00"/>
    <x v="1"/>
    <x v="0"/>
    <x v="0"/>
    <x v="0"/>
    <s v="Free"/>
    <n v="1"/>
    <n v="1"/>
    <n v="1"/>
    <x v="1"/>
    <n v="268.95999999999998"/>
    <n v="0"/>
    <n v="0"/>
    <n v="14"/>
    <n v="81"/>
    <m/>
    <n v="0"/>
  </r>
  <r>
    <s v="USR-101054"/>
    <d v="2025-01-27T00:00:00"/>
    <x v="1"/>
    <x v="3"/>
    <x v="1"/>
    <x v="1"/>
    <s v="Free"/>
    <n v="1"/>
    <n v="0"/>
    <n v="0"/>
    <x v="0"/>
    <n v="0"/>
    <n v="1"/>
    <n v="0"/>
    <m/>
    <n v="58.9"/>
    <m/>
    <n v="1"/>
  </r>
  <r>
    <s v="USR-101055"/>
    <d v="2025-04-17T00:00:00"/>
    <x v="1"/>
    <x v="2"/>
    <x v="1"/>
    <x v="1"/>
    <s v="Free"/>
    <n v="1"/>
    <n v="0"/>
    <n v="0"/>
    <x v="0"/>
    <n v="0"/>
    <n v="0"/>
    <n v="0"/>
    <m/>
    <n v="51.9"/>
    <m/>
    <n v="0"/>
  </r>
  <r>
    <s v="USR-101056"/>
    <d v="2025-02-06T00:00:00"/>
    <x v="1"/>
    <x v="1"/>
    <x v="1"/>
    <x v="4"/>
    <s v="Free"/>
    <n v="1"/>
    <n v="1"/>
    <n v="0"/>
    <x v="0"/>
    <n v="0"/>
    <n v="0"/>
    <n v="0"/>
    <m/>
    <n v="61.7"/>
    <m/>
    <n v="0"/>
  </r>
  <r>
    <s v="USR-101057"/>
    <d v="2025-04-20T00:00:00"/>
    <x v="1"/>
    <x v="3"/>
    <x v="1"/>
    <x v="2"/>
    <s v="Free"/>
    <n v="1"/>
    <n v="0"/>
    <n v="0"/>
    <x v="0"/>
    <n v="0"/>
    <n v="0"/>
    <n v="0"/>
    <m/>
    <n v="44.7"/>
    <m/>
    <n v="0"/>
  </r>
  <r>
    <s v="USR-101058"/>
    <d v="2025-05-06T00:00:00"/>
    <x v="1"/>
    <x v="0"/>
    <x v="1"/>
    <x v="2"/>
    <s v="Basic"/>
    <n v="0"/>
    <n v="0"/>
    <n v="0"/>
    <x v="0"/>
    <n v="0"/>
    <n v="0"/>
    <n v="0"/>
    <m/>
    <n v="63.2"/>
    <m/>
    <n v="0"/>
  </r>
  <r>
    <s v="USR-101059"/>
    <d v="2025-05-16T00:00:00"/>
    <x v="1"/>
    <x v="3"/>
    <x v="1"/>
    <x v="1"/>
    <s v="Free"/>
    <n v="1"/>
    <n v="0"/>
    <n v="0"/>
    <x v="0"/>
    <n v="0"/>
    <n v="0"/>
    <n v="0"/>
    <m/>
    <n v="70.3"/>
    <m/>
    <n v="0"/>
  </r>
  <r>
    <s v="USR-101060"/>
    <d v="2025-03-02T00:00:00"/>
    <x v="1"/>
    <x v="3"/>
    <x v="1"/>
    <x v="2"/>
    <s v="Premium"/>
    <n v="1"/>
    <n v="1"/>
    <n v="0"/>
    <x v="0"/>
    <n v="0"/>
    <n v="1"/>
    <n v="0"/>
    <m/>
    <n v="83.1"/>
    <m/>
    <n v="1"/>
  </r>
  <r>
    <s v="USR-101061"/>
    <d v="2025-04-09T00:00:00"/>
    <x v="1"/>
    <x v="1"/>
    <x v="1"/>
    <x v="4"/>
    <s v="Free"/>
    <n v="0"/>
    <n v="0"/>
    <n v="0"/>
    <x v="0"/>
    <n v="0"/>
    <n v="0"/>
    <n v="0"/>
    <m/>
    <n v="50.3"/>
    <m/>
    <n v="0"/>
  </r>
  <r>
    <s v="USR-101062"/>
    <d v="2025-01-26T00:00:00"/>
    <x v="1"/>
    <x v="2"/>
    <x v="1"/>
    <x v="2"/>
    <s v="Free"/>
    <n v="1"/>
    <n v="1"/>
    <n v="1"/>
    <x v="1"/>
    <n v="437.09"/>
    <n v="2"/>
    <n v="1"/>
    <n v="1"/>
    <n v="58.2"/>
    <m/>
    <n v="1"/>
  </r>
  <r>
    <s v="USR-101063"/>
    <d v="2025-02-25T00:00:00"/>
    <x v="1"/>
    <x v="3"/>
    <x v="1"/>
    <x v="2"/>
    <s v="Basic"/>
    <n v="1"/>
    <n v="1"/>
    <n v="1"/>
    <x v="0"/>
    <n v="0"/>
    <n v="0"/>
    <n v="0"/>
    <m/>
    <n v="53.2"/>
    <m/>
    <n v="0"/>
  </r>
  <r>
    <s v="USR-101064"/>
    <d v="2025-01-07T00:00:00"/>
    <x v="1"/>
    <x v="2"/>
    <x v="1"/>
    <x v="1"/>
    <s v="Premium"/>
    <n v="0"/>
    <n v="0"/>
    <n v="0"/>
    <x v="0"/>
    <n v="0"/>
    <n v="0"/>
    <n v="0"/>
    <m/>
    <n v="36.4"/>
    <m/>
    <n v="0"/>
  </r>
  <r>
    <s v="USR-101065"/>
    <d v="2025-03-08T00:00:00"/>
    <x v="1"/>
    <x v="3"/>
    <x v="1"/>
    <x v="4"/>
    <s v="Basic"/>
    <n v="1"/>
    <n v="1"/>
    <n v="1"/>
    <x v="0"/>
    <n v="0"/>
    <n v="0"/>
    <n v="0"/>
    <m/>
    <n v="72.7"/>
    <m/>
    <n v="0"/>
  </r>
  <r>
    <s v="USR-101066"/>
    <d v="2025-05-22T00:00:00"/>
    <x v="1"/>
    <x v="2"/>
    <x v="1"/>
    <x v="3"/>
    <s v="Free"/>
    <n v="1"/>
    <n v="0"/>
    <n v="0"/>
    <x v="0"/>
    <n v="0"/>
    <n v="1"/>
    <n v="0"/>
    <m/>
    <n v="86.7"/>
    <m/>
    <n v="1"/>
  </r>
  <r>
    <s v="USR-101067"/>
    <d v="2025-04-18T00:00:00"/>
    <x v="1"/>
    <x v="2"/>
    <x v="1"/>
    <x v="2"/>
    <s v="Premium"/>
    <n v="1"/>
    <n v="0"/>
    <n v="0"/>
    <x v="0"/>
    <n v="0"/>
    <n v="0"/>
    <n v="0"/>
    <m/>
    <n v="48.2"/>
    <m/>
    <n v="0"/>
  </r>
  <r>
    <s v="USR-101068"/>
    <d v="2025-02-24T00:00:00"/>
    <x v="1"/>
    <x v="1"/>
    <x v="1"/>
    <x v="3"/>
    <s v="Basic"/>
    <n v="0"/>
    <n v="0"/>
    <n v="0"/>
    <x v="0"/>
    <n v="0"/>
    <n v="1"/>
    <n v="0"/>
    <m/>
    <n v="57.6"/>
    <m/>
    <n v="1"/>
  </r>
  <r>
    <s v="USR-101069"/>
    <d v="2025-02-11T00:00:00"/>
    <x v="1"/>
    <x v="0"/>
    <x v="1"/>
    <x v="1"/>
    <s v="Free"/>
    <n v="1"/>
    <n v="1"/>
    <n v="1"/>
    <x v="0"/>
    <n v="0"/>
    <n v="0"/>
    <n v="0"/>
    <m/>
    <n v="75.7"/>
    <m/>
    <n v="0"/>
  </r>
  <r>
    <s v="USR-101070"/>
    <d v="2025-03-11T00:00:00"/>
    <x v="1"/>
    <x v="1"/>
    <x v="0"/>
    <x v="2"/>
    <s v="Free"/>
    <n v="1"/>
    <n v="0"/>
    <n v="0"/>
    <x v="0"/>
    <n v="0"/>
    <n v="2"/>
    <n v="0"/>
    <m/>
    <n v="48.6"/>
    <m/>
    <n v="1"/>
  </r>
  <r>
    <s v="USR-101071"/>
    <d v="2025-04-11T00:00:00"/>
    <x v="1"/>
    <x v="2"/>
    <x v="2"/>
    <x v="3"/>
    <s v="Free"/>
    <n v="1"/>
    <n v="1"/>
    <n v="1"/>
    <x v="0"/>
    <n v="0"/>
    <n v="0"/>
    <n v="0"/>
    <m/>
    <n v="72"/>
    <m/>
    <n v="0"/>
  </r>
  <r>
    <s v="USR-101072"/>
    <d v="2025-03-11T00:00:00"/>
    <x v="1"/>
    <x v="0"/>
    <x v="1"/>
    <x v="1"/>
    <s v="Free"/>
    <n v="0"/>
    <n v="0"/>
    <n v="0"/>
    <x v="0"/>
    <n v="0"/>
    <n v="0"/>
    <n v="0"/>
    <m/>
    <n v="72.2"/>
    <m/>
    <n v="0"/>
  </r>
  <r>
    <s v="USR-101073"/>
    <d v="2025-05-22T00:00:00"/>
    <x v="1"/>
    <x v="2"/>
    <x v="1"/>
    <x v="3"/>
    <s v="Free"/>
    <n v="1"/>
    <n v="0"/>
    <n v="0"/>
    <x v="0"/>
    <n v="0"/>
    <n v="1"/>
    <n v="0"/>
    <m/>
    <m/>
    <m/>
    <n v="1"/>
  </r>
  <r>
    <s v="USR-101074"/>
    <d v="2025-02-22T00:00:00"/>
    <x v="1"/>
    <x v="3"/>
    <x v="0"/>
    <x v="1"/>
    <s v="Free"/>
    <n v="1"/>
    <n v="1"/>
    <n v="1"/>
    <x v="1"/>
    <n v="331.53"/>
    <n v="2"/>
    <n v="0"/>
    <n v="4"/>
    <n v="56.8"/>
    <m/>
    <n v="1"/>
  </r>
  <r>
    <s v="USR-101075"/>
    <d v="2025-01-13T00:00:00"/>
    <x v="1"/>
    <x v="2"/>
    <x v="1"/>
    <x v="2"/>
    <s v="Basic"/>
    <n v="1"/>
    <n v="0"/>
    <n v="0"/>
    <x v="0"/>
    <n v="0"/>
    <n v="0"/>
    <n v="0"/>
    <m/>
    <n v="62.5"/>
    <m/>
    <n v="0"/>
  </r>
  <r>
    <s v="USR-101076"/>
    <d v="2025-05-19T00:00:00"/>
    <x v="1"/>
    <x v="3"/>
    <x v="1"/>
    <x v="1"/>
    <s v="Free"/>
    <n v="1"/>
    <n v="0"/>
    <n v="0"/>
    <x v="0"/>
    <n v="0"/>
    <n v="0"/>
    <n v="0"/>
    <m/>
    <n v="63.4"/>
    <m/>
    <n v="0"/>
  </r>
  <r>
    <s v="USR-101077"/>
    <d v="2025-03-08T00:00:00"/>
    <x v="1"/>
    <x v="0"/>
    <x v="2"/>
    <x v="1"/>
    <s v="Basic"/>
    <n v="1"/>
    <n v="1"/>
    <n v="1"/>
    <x v="1"/>
    <n v="774.78"/>
    <n v="0"/>
    <n v="0"/>
    <n v="3"/>
    <n v="46.8"/>
    <m/>
    <n v="0"/>
  </r>
  <r>
    <s v="USR-101078"/>
    <d v="2025-04-20T00:00:00"/>
    <x v="1"/>
    <x v="3"/>
    <x v="1"/>
    <x v="1"/>
    <s v="Free"/>
    <n v="1"/>
    <n v="1"/>
    <n v="1"/>
    <x v="1"/>
    <n v="422.02"/>
    <n v="0"/>
    <n v="0"/>
    <n v="8"/>
    <n v="86.5"/>
    <m/>
    <n v="0"/>
  </r>
  <r>
    <s v="USR-101079"/>
    <d v="2025-05-08T00:00:00"/>
    <x v="1"/>
    <x v="1"/>
    <x v="1"/>
    <x v="0"/>
    <s v="Basic"/>
    <n v="0"/>
    <n v="0"/>
    <n v="0"/>
    <x v="0"/>
    <n v="0"/>
    <n v="1"/>
    <n v="0"/>
    <m/>
    <n v="75.099999999999994"/>
    <m/>
    <n v="1"/>
  </r>
  <r>
    <s v="USR-101080"/>
    <d v="2025-05-10T00:00:00"/>
    <x v="1"/>
    <x v="3"/>
    <x v="1"/>
    <x v="1"/>
    <s v="Basic"/>
    <n v="1"/>
    <n v="0"/>
    <n v="0"/>
    <x v="0"/>
    <n v="0"/>
    <n v="0"/>
    <n v="0"/>
    <m/>
    <n v="64.5"/>
    <m/>
    <n v="0"/>
  </r>
  <r>
    <s v="USR-101081"/>
    <d v="2025-03-28T00:00:00"/>
    <x v="1"/>
    <x v="2"/>
    <x v="1"/>
    <x v="1"/>
    <s v="Free"/>
    <n v="1"/>
    <n v="0"/>
    <n v="0"/>
    <x v="0"/>
    <n v="0"/>
    <n v="0"/>
    <n v="0"/>
    <m/>
    <n v="54.2"/>
    <m/>
    <n v="0"/>
  </r>
  <r>
    <s v="USR-101082"/>
    <d v="2025-04-30T00:00:00"/>
    <x v="1"/>
    <x v="2"/>
    <x v="1"/>
    <x v="2"/>
    <s v="Premium"/>
    <n v="1"/>
    <n v="1"/>
    <n v="1"/>
    <x v="0"/>
    <n v="0"/>
    <n v="0"/>
    <n v="0"/>
    <m/>
    <n v="84.1"/>
    <m/>
    <n v="0"/>
  </r>
  <r>
    <s v="USR-101083"/>
    <d v="2025-02-08T00:00:00"/>
    <x v="1"/>
    <x v="0"/>
    <x v="1"/>
    <x v="1"/>
    <s v="Basic"/>
    <n v="0"/>
    <n v="0"/>
    <n v="0"/>
    <x v="0"/>
    <n v="0"/>
    <n v="1"/>
    <n v="0"/>
    <m/>
    <n v="49.1"/>
    <m/>
    <n v="1"/>
  </r>
  <r>
    <s v="USR-101084"/>
    <d v="2025-03-07T00:00:00"/>
    <x v="1"/>
    <x v="3"/>
    <x v="1"/>
    <x v="3"/>
    <s v="Premium"/>
    <n v="0"/>
    <n v="0"/>
    <n v="0"/>
    <x v="0"/>
    <n v="0"/>
    <n v="0"/>
    <n v="0"/>
    <m/>
    <n v="92.7"/>
    <m/>
    <n v="0"/>
  </r>
  <r>
    <s v="USR-101085"/>
    <d v="2025-05-21T00:00:00"/>
    <x v="1"/>
    <x v="3"/>
    <x v="1"/>
    <x v="4"/>
    <s v="Basic"/>
    <n v="1"/>
    <n v="1"/>
    <n v="1"/>
    <x v="0"/>
    <n v="0"/>
    <n v="1"/>
    <n v="0"/>
    <m/>
    <n v="58.7"/>
    <m/>
    <n v="1"/>
  </r>
  <r>
    <s v="USR-101086"/>
    <d v="2025-04-12T00:00:00"/>
    <x v="1"/>
    <x v="3"/>
    <x v="1"/>
    <x v="4"/>
    <s v="Free"/>
    <n v="1"/>
    <n v="1"/>
    <n v="1"/>
    <x v="0"/>
    <n v="0"/>
    <n v="0"/>
    <n v="0"/>
    <m/>
    <n v="59.3"/>
    <m/>
    <n v="0"/>
  </r>
  <r>
    <s v="USR-101087"/>
    <d v="2025-02-02T00:00:00"/>
    <x v="1"/>
    <x v="3"/>
    <x v="1"/>
    <x v="2"/>
    <s v="Free"/>
    <n v="1"/>
    <n v="0"/>
    <n v="0"/>
    <x v="0"/>
    <n v="0"/>
    <n v="0"/>
    <n v="0"/>
    <m/>
    <n v="62"/>
    <m/>
    <n v="0"/>
  </r>
  <r>
    <s v="USR-101088"/>
    <d v="2025-04-22T00:00:00"/>
    <x v="1"/>
    <x v="0"/>
    <x v="2"/>
    <x v="3"/>
    <s v="Free"/>
    <n v="1"/>
    <n v="1"/>
    <n v="1"/>
    <x v="0"/>
    <n v="0"/>
    <n v="1"/>
    <n v="0"/>
    <m/>
    <n v="60.3"/>
    <m/>
    <n v="1"/>
  </r>
  <r>
    <s v="USR-101089"/>
    <d v="2025-02-08T00:00:00"/>
    <x v="1"/>
    <x v="0"/>
    <x v="1"/>
    <x v="4"/>
    <s v="Basic"/>
    <n v="1"/>
    <n v="0"/>
    <n v="0"/>
    <x v="0"/>
    <n v="0"/>
    <n v="0"/>
    <n v="0"/>
    <m/>
    <n v="70.5"/>
    <m/>
    <n v="0"/>
  </r>
  <r>
    <s v="USR-101090"/>
    <d v="2025-01-24T00:00:00"/>
    <x v="1"/>
    <x v="3"/>
    <x v="0"/>
    <x v="0"/>
    <s v="Free"/>
    <n v="1"/>
    <n v="0"/>
    <n v="0"/>
    <x v="0"/>
    <n v="0"/>
    <n v="0"/>
    <n v="0"/>
    <m/>
    <n v="36.799999999999997"/>
    <m/>
    <n v="0"/>
  </r>
  <r>
    <s v="USR-101091"/>
    <d v="2025-05-12T00:00:00"/>
    <x v="1"/>
    <x v="3"/>
    <x v="1"/>
    <x v="2"/>
    <s v="Basic"/>
    <n v="0"/>
    <n v="0"/>
    <n v="0"/>
    <x v="0"/>
    <n v="0"/>
    <n v="1"/>
    <n v="0"/>
    <m/>
    <n v="73.2"/>
    <m/>
    <n v="1"/>
  </r>
  <r>
    <s v="USR-101092"/>
    <d v="2025-03-30T00:00:00"/>
    <x v="1"/>
    <x v="0"/>
    <x v="1"/>
    <x v="1"/>
    <s v="Basic"/>
    <n v="0"/>
    <n v="0"/>
    <n v="0"/>
    <x v="0"/>
    <n v="0"/>
    <n v="0"/>
    <n v="0"/>
    <m/>
    <n v="70.099999999999994"/>
    <m/>
    <n v="0"/>
  </r>
  <r>
    <s v="USR-101093"/>
    <d v="2025-01-02T00:00:00"/>
    <x v="1"/>
    <x v="3"/>
    <x v="0"/>
    <x v="2"/>
    <s v="Basic"/>
    <n v="1"/>
    <n v="0"/>
    <n v="0"/>
    <x v="0"/>
    <n v="0"/>
    <n v="0"/>
    <n v="0"/>
    <m/>
    <n v="76.400000000000006"/>
    <m/>
    <n v="0"/>
  </r>
  <r>
    <s v="USR-101094"/>
    <d v="2025-03-21T00:00:00"/>
    <x v="1"/>
    <x v="3"/>
    <x v="2"/>
    <x v="0"/>
    <s v="Basic"/>
    <n v="0"/>
    <n v="0"/>
    <n v="0"/>
    <x v="0"/>
    <n v="0"/>
    <n v="0"/>
    <n v="0"/>
    <m/>
    <n v="46.4"/>
    <m/>
    <n v="0"/>
  </r>
  <r>
    <s v="USR-101095"/>
    <d v="2025-01-25T00:00:00"/>
    <x v="1"/>
    <x v="1"/>
    <x v="1"/>
    <x v="1"/>
    <s v="Free"/>
    <n v="1"/>
    <n v="1"/>
    <n v="1"/>
    <x v="0"/>
    <n v="0"/>
    <n v="1"/>
    <n v="0"/>
    <m/>
    <n v="81.3"/>
    <m/>
    <n v="1"/>
  </r>
  <r>
    <s v="USR-101096"/>
    <d v="2025-01-12T00:00:00"/>
    <x v="1"/>
    <x v="3"/>
    <x v="2"/>
    <x v="4"/>
    <s v="Free"/>
    <n v="1"/>
    <n v="1"/>
    <n v="1"/>
    <x v="0"/>
    <n v="0"/>
    <n v="0"/>
    <n v="0"/>
    <m/>
    <n v="55.3"/>
    <m/>
    <n v="0"/>
  </r>
  <r>
    <s v="USR-101097"/>
    <d v="2025-03-18T00:00:00"/>
    <x v="1"/>
    <x v="2"/>
    <x v="0"/>
    <x v="3"/>
    <s v="Free"/>
    <n v="1"/>
    <n v="0"/>
    <n v="0"/>
    <x v="0"/>
    <n v="0"/>
    <n v="0"/>
    <n v="0"/>
    <m/>
    <n v="44.7"/>
    <m/>
    <n v="0"/>
  </r>
  <r>
    <s v="USR-101098"/>
    <d v="2025-03-26T00:00:00"/>
    <x v="1"/>
    <x v="2"/>
    <x v="1"/>
    <x v="2"/>
    <s v="Basic"/>
    <n v="1"/>
    <n v="0"/>
    <n v="0"/>
    <x v="0"/>
    <n v="0"/>
    <n v="0"/>
    <n v="0"/>
    <m/>
    <n v="67.2"/>
    <m/>
    <n v="0"/>
  </r>
  <r>
    <s v="USR-101099"/>
    <d v="2025-04-19T00:00:00"/>
    <x v="1"/>
    <x v="0"/>
    <x v="1"/>
    <x v="2"/>
    <s v="Basic"/>
    <n v="1"/>
    <n v="0"/>
    <n v="0"/>
    <x v="0"/>
    <n v="0"/>
    <n v="0"/>
    <n v="0"/>
    <m/>
    <m/>
    <m/>
    <n v="0"/>
  </r>
  <r>
    <s v="USR-101100"/>
    <d v="2025-04-17T00:00:00"/>
    <x v="1"/>
    <x v="2"/>
    <x v="1"/>
    <x v="1"/>
    <s v="Premium"/>
    <n v="1"/>
    <n v="1"/>
    <n v="1"/>
    <x v="0"/>
    <n v="0"/>
    <n v="1"/>
    <n v="0"/>
    <m/>
    <n v="70.8"/>
    <m/>
    <n v="1"/>
  </r>
  <r>
    <s v="USR-101101"/>
    <d v="2025-05-26T00:00:00"/>
    <x v="1"/>
    <x v="3"/>
    <x v="1"/>
    <x v="2"/>
    <s v="Free"/>
    <n v="1"/>
    <n v="0"/>
    <n v="0"/>
    <x v="0"/>
    <n v="0"/>
    <n v="0"/>
    <n v="0"/>
    <m/>
    <n v="71.3"/>
    <m/>
    <n v="0"/>
  </r>
  <r>
    <s v="USR-101102"/>
    <d v="2025-04-14T00:00:00"/>
    <x v="1"/>
    <x v="0"/>
    <x v="1"/>
    <x v="4"/>
    <s v="Premium"/>
    <n v="1"/>
    <n v="1"/>
    <n v="1"/>
    <x v="0"/>
    <n v="0"/>
    <n v="0"/>
    <n v="0"/>
    <m/>
    <n v="69.400000000000006"/>
    <m/>
    <n v="0"/>
  </r>
  <r>
    <s v="USR-101103"/>
    <d v="2025-01-23T00:00:00"/>
    <x v="1"/>
    <x v="3"/>
    <x v="1"/>
    <x v="1"/>
    <s v="Basic"/>
    <n v="1"/>
    <n v="1"/>
    <n v="0"/>
    <x v="0"/>
    <n v="0"/>
    <n v="0"/>
    <n v="0"/>
    <m/>
    <n v="58.9"/>
    <m/>
    <n v="0"/>
  </r>
  <r>
    <s v="USR-101104"/>
    <d v="2025-01-06T00:00:00"/>
    <x v="1"/>
    <x v="2"/>
    <x v="1"/>
    <x v="3"/>
    <s v="Free"/>
    <n v="0"/>
    <n v="0"/>
    <n v="0"/>
    <x v="0"/>
    <n v="0"/>
    <n v="0"/>
    <n v="0"/>
    <m/>
    <n v="70.7"/>
    <m/>
    <n v="0"/>
  </r>
  <r>
    <s v="USR-101105"/>
    <d v="2025-05-31T00:00:00"/>
    <x v="1"/>
    <x v="1"/>
    <x v="1"/>
    <x v="0"/>
    <s v="Basic"/>
    <n v="1"/>
    <n v="0"/>
    <n v="0"/>
    <x v="0"/>
    <n v="0"/>
    <n v="0"/>
    <n v="0"/>
    <m/>
    <n v="60.5"/>
    <m/>
    <n v="0"/>
  </r>
  <r>
    <s v="USR-101106"/>
    <d v="2025-05-19T00:00:00"/>
    <x v="1"/>
    <x v="0"/>
    <x v="1"/>
    <x v="1"/>
    <s v="Basic"/>
    <n v="1"/>
    <n v="1"/>
    <n v="1"/>
    <x v="0"/>
    <n v="0"/>
    <n v="0"/>
    <n v="0"/>
    <m/>
    <n v="77.3"/>
    <m/>
    <n v="0"/>
  </r>
  <r>
    <s v="USR-101107"/>
    <d v="2025-02-25T00:00:00"/>
    <x v="1"/>
    <x v="0"/>
    <x v="1"/>
    <x v="1"/>
    <s v="Free"/>
    <n v="0"/>
    <n v="0"/>
    <n v="0"/>
    <x v="0"/>
    <n v="0"/>
    <n v="1"/>
    <n v="0"/>
    <m/>
    <n v="39.5"/>
    <m/>
    <n v="1"/>
  </r>
  <r>
    <s v="USR-101108"/>
    <d v="2025-01-10T00:00:00"/>
    <x v="1"/>
    <x v="3"/>
    <x v="2"/>
    <x v="1"/>
    <s v="Basic"/>
    <n v="1"/>
    <n v="0"/>
    <n v="0"/>
    <x v="0"/>
    <n v="0"/>
    <n v="0"/>
    <n v="0"/>
    <m/>
    <n v="68.099999999999994"/>
    <m/>
    <n v="0"/>
  </r>
  <r>
    <s v="USR-101109"/>
    <d v="2025-05-13T00:00:00"/>
    <x v="1"/>
    <x v="0"/>
    <x v="2"/>
    <x v="2"/>
    <s v="Free"/>
    <n v="0"/>
    <n v="0"/>
    <n v="0"/>
    <x v="0"/>
    <n v="0"/>
    <n v="0"/>
    <n v="0"/>
    <m/>
    <n v="80.3"/>
    <m/>
    <n v="0"/>
  </r>
  <r>
    <s v="USR-101110"/>
    <d v="2025-04-27T00:00:00"/>
    <x v="1"/>
    <x v="1"/>
    <x v="0"/>
    <x v="1"/>
    <s v="Premium"/>
    <n v="1"/>
    <n v="0"/>
    <n v="0"/>
    <x v="0"/>
    <n v="0"/>
    <n v="0"/>
    <n v="0"/>
    <m/>
    <n v="77.7"/>
    <m/>
    <n v="0"/>
  </r>
  <r>
    <s v="USR-101111"/>
    <d v="2025-04-03T00:00:00"/>
    <x v="1"/>
    <x v="3"/>
    <x v="1"/>
    <x v="1"/>
    <s v="Free"/>
    <n v="1"/>
    <n v="0"/>
    <n v="0"/>
    <x v="0"/>
    <n v="0"/>
    <n v="1"/>
    <n v="0"/>
    <m/>
    <n v="66.2"/>
    <m/>
    <n v="1"/>
  </r>
  <r>
    <s v="USR-101112"/>
    <d v="2025-03-26T00:00:00"/>
    <x v="1"/>
    <x v="3"/>
    <x v="1"/>
    <x v="1"/>
    <s v="Free"/>
    <n v="1"/>
    <n v="1"/>
    <n v="1"/>
    <x v="0"/>
    <n v="0"/>
    <n v="1"/>
    <n v="0"/>
    <m/>
    <n v="43.9"/>
    <m/>
    <n v="1"/>
  </r>
  <r>
    <s v="USR-101113"/>
    <d v="2025-01-31T00:00:00"/>
    <x v="1"/>
    <x v="3"/>
    <x v="1"/>
    <x v="1"/>
    <s v="Basic"/>
    <n v="1"/>
    <n v="1"/>
    <n v="1"/>
    <x v="0"/>
    <n v="0"/>
    <n v="2"/>
    <n v="0"/>
    <m/>
    <n v="59.1"/>
    <m/>
    <n v="1"/>
  </r>
  <r>
    <s v="USR-101114"/>
    <d v="2025-01-25T00:00:00"/>
    <x v="1"/>
    <x v="3"/>
    <x v="1"/>
    <x v="4"/>
    <s v="Free"/>
    <n v="1"/>
    <n v="1"/>
    <n v="1"/>
    <x v="1"/>
    <n v="416.94"/>
    <n v="1"/>
    <n v="0"/>
    <n v="11"/>
    <n v="67"/>
    <m/>
    <n v="1"/>
  </r>
  <r>
    <s v="USR-101115"/>
    <d v="2025-02-06T00:00:00"/>
    <x v="1"/>
    <x v="1"/>
    <x v="1"/>
    <x v="3"/>
    <s v="Basic"/>
    <n v="1"/>
    <n v="0"/>
    <n v="0"/>
    <x v="0"/>
    <n v="0"/>
    <n v="0"/>
    <n v="0"/>
    <m/>
    <n v="47.9"/>
    <m/>
    <n v="0"/>
  </r>
  <r>
    <s v="USR-101116"/>
    <d v="2025-03-10T00:00:00"/>
    <x v="1"/>
    <x v="2"/>
    <x v="1"/>
    <x v="2"/>
    <s v="Free"/>
    <n v="1"/>
    <n v="1"/>
    <n v="0"/>
    <x v="0"/>
    <n v="0"/>
    <n v="0"/>
    <n v="0"/>
    <m/>
    <n v="41.5"/>
    <m/>
    <n v="0"/>
  </r>
  <r>
    <s v="USR-101117"/>
    <d v="2025-01-26T00:00:00"/>
    <x v="1"/>
    <x v="1"/>
    <x v="1"/>
    <x v="1"/>
    <s v="Basic"/>
    <n v="1"/>
    <n v="1"/>
    <n v="1"/>
    <x v="0"/>
    <n v="0"/>
    <n v="3"/>
    <n v="0"/>
    <m/>
    <n v="30.6"/>
    <m/>
    <n v="1"/>
  </r>
  <r>
    <s v="USR-101118"/>
    <d v="2025-01-01T00:00:00"/>
    <x v="1"/>
    <x v="2"/>
    <x v="1"/>
    <x v="2"/>
    <s v="Free"/>
    <n v="1"/>
    <n v="1"/>
    <n v="0"/>
    <x v="0"/>
    <n v="0"/>
    <n v="0"/>
    <n v="0"/>
    <m/>
    <n v="91.5"/>
    <m/>
    <n v="0"/>
  </r>
  <r>
    <s v="USR-101119"/>
    <d v="2025-04-28T00:00:00"/>
    <x v="1"/>
    <x v="0"/>
    <x v="0"/>
    <x v="4"/>
    <s v="Basic"/>
    <n v="1"/>
    <n v="0"/>
    <n v="0"/>
    <x v="0"/>
    <n v="0"/>
    <n v="0"/>
    <n v="0"/>
    <m/>
    <n v="80.8"/>
    <m/>
    <n v="0"/>
  </r>
  <r>
    <s v="USR-101120"/>
    <d v="2025-04-04T00:00:00"/>
    <x v="1"/>
    <x v="0"/>
    <x v="1"/>
    <x v="1"/>
    <s v="Premium"/>
    <n v="1"/>
    <n v="0"/>
    <n v="0"/>
    <x v="0"/>
    <n v="0"/>
    <n v="0"/>
    <n v="0"/>
    <m/>
    <n v="68.099999999999994"/>
    <m/>
    <n v="0"/>
  </r>
  <r>
    <s v="USR-101121"/>
    <d v="2025-03-02T00:00:00"/>
    <x v="1"/>
    <x v="2"/>
    <x v="1"/>
    <x v="2"/>
    <s v="Free"/>
    <n v="1"/>
    <n v="0"/>
    <n v="0"/>
    <x v="0"/>
    <n v="0"/>
    <n v="0"/>
    <n v="0"/>
    <m/>
    <n v="80.3"/>
    <m/>
    <n v="0"/>
  </r>
  <r>
    <s v="USR-101122"/>
    <d v="2025-03-19T00:00:00"/>
    <x v="1"/>
    <x v="3"/>
    <x v="2"/>
    <x v="1"/>
    <s v="Basic"/>
    <n v="1"/>
    <n v="0"/>
    <n v="0"/>
    <x v="0"/>
    <n v="0"/>
    <n v="0"/>
    <n v="0"/>
    <m/>
    <n v="44.4"/>
    <m/>
    <n v="0"/>
  </r>
  <r>
    <s v="USR-101123"/>
    <d v="2025-01-20T00:00:00"/>
    <x v="1"/>
    <x v="3"/>
    <x v="0"/>
    <x v="1"/>
    <s v="Basic"/>
    <n v="0"/>
    <n v="0"/>
    <n v="0"/>
    <x v="0"/>
    <n v="0"/>
    <n v="0"/>
    <n v="0"/>
    <m/>
    <n v="51.9"/>
    <m/>
    <n v="0"/>
  </r>
  <r>
    <s v="USR-101124"/>
    <d v="2025-04-03T00:00:00"/>
    <x v="1"/>
    <x v="2"/>
    <x v="1"/>
    <x v="2"/>
    <s v="Free"/>
    <n v="1"/>
    <n v="1"/>
    <n v="0"/>
    <x v="0"/>
    <n v="0"/>
    <n v="0"/>
    <n v="0"/>
    <m/>
    <n v="49.8"/>
    <m/>
    <n v="0"/>
  </r>
  <r>
    <s v="USR-101125"/>
    <d v="2025-01-11T00:00:00"/>
    <x v="1"/>
    <x v="2"/>
    <x v="0"/>
    <x v="4"/>
    <s v="Free"/>
    <n v="1"/>
    <n v="1"/>
    <n v="1"/>
    <x v="0"/>
    <n v="0"/>
    <n v="3"/>
    <n v="0"/>
    <m/>
    <n v="62.1"/>
    <m/>
    <n v="1"/>
  </r>
  <r>
    <s v="USR-101126"/>
    <d v="2025-02-02T00:00:00"/>
    <x v="1"/>
    <x v="1"/>
    <x v="0"/>
    <x v="4"/>
    <s v="Basic"/>
    <n v="1"/>
    <n v="0"/>
    <n v="0"/>
    <x v="0"/>
    <n v="0"/>
    <n v="0"/>
    <n v="0"/>
    <m/>
    <n v="91.3"/>
    <m/>
    <n v="0"/>
  </r>
  <r>
    <s v="USR-101127"/>
    <d v="2025-04-01T00:00:00"/>
    <x v="1"/>
    <x v="3"/>
    <x v="1"/>
    <x v="1"/>
    <s v="Basic"/>
    <n v="1"/>
    <n v="0"/>
    <n v="0"/>
    <x v="0"/>
    <n v="0"/>
    <n v="0"/>
    <n v="0"/>
    <m/>
    <n v="66.400000000000006"/>
    <m/>
    <n v="0"/>
  </r>
  <r>
    <s v="USR-101128"/>
    <d v="2025-05-22T00:00:00"/>
    <x v="1"/>
    <x v="2"/>
    <x v="1"/>
    <x v="1"/>
    <s v="Basic"/>
    <n v="1"/>
    <n v="0"/>
    <n v="0"/>
    <x v="0"/>
    <n v="0"/>
    <n v="0"/>
    <n v="0"/>
    <m/>
    <n v="41.5"/>
    <m/>
    <n v="0"/>
  </r>
  <r>
    <s v="USR-101129"/>
    <d v="2025-02-20T00:00:00"/>
    <x v="1"/>
    <x v="1"/>
    <x v="1"/>
    <x v="1"/>
    <s v="Basic"/>
    <n v="0"/>
    <n v="0"/>
    <n v="0"/>
    <x v="0"/>
    <n v="0"/>
    <n v="0"/>
    <n v="0"/>
    <m/>
    <n v="77.099999999999994"/>
    <m/>
    <n v="0"/>
  </r>
  <r>
    <s v="USR-101130"/>
    <d v="2025-03-21T00:00:00"/>
    <x v="1"/>
    <x v="1"/>
    <x v="1"/>
    <x v="1"/>
    <s v="Free"/>
    <n v="1"/>
    <n v="0"/>
    <n v="0"/>
    <x v="0"/>
    <n v="0"/>
    <n v="0"/>
    <n v="0"/>
    <m/>
    <n v="63.2"/>
    <m/>
    <n v="0"/>
  </r>
  <r>
    <s v="USR-101131"/>
    <d v="2025-05-01T00:00:00"/>
    <x v="1"/>
    <x v="1"/>
    <x v="0"/>
    <x v="3"/>
    <s v="Free"/>
    <n v="1"/>
    <n v="1"/>
    <n v="1"/>
    <x v="0"/>
    <n v="0"/>
    <n v="3"/>
    <n v="0"/>
    <m/>
    <n v="75.7"/>
    <m/>
    <n v="1"/>
  </r>
  <r>
    <s v="USR-101132"/>
    <d v="2025-01-06T00:00:00"/>
    <x v="1"/>
    <x v="1"/>
    <x v="1"/>
    <x v="2"/>
    <s v="Basic"/>
    <n v="0"/>
    <n v="0"/>
    <n v="0"/>
    <x v="0"/>
    <n v="0"/>
    <n v="0"/>
    <n v="0"/>
    <m/>
    <n v="62.9"/>
    <m/>
    <n v="0"/>
  </r>
  <r>
    <s v="USR-101133"/>
    <d v="2025-04-12T00:00:00"/>
    <x v="1"/>
    <x v="0"/>
    <x v="0"/>
    <x v="2"/>
    <s v="Premium"/>
    <n v="1"/>
    <n v="0"/>
    <n v="0"/>
    <x v="0"/>
    <n v="0"/>
    <n v="3"/>
    <n v="0"/>
    <m/>
    <n v="64.599999999999994"/>
    <m/>
    <n v="1"/>
  </r>
  <r>
    <s v="USR-101134"/>
    <d v="2025-04-18T00:00:00"/>
    <x v="1"/>
    <x v="0"/>
    <x v="1"/>
    <x v="5"/>
    <s v="Basic"/>
    <n v="1"/>
    <n v="0"/>
    <n v="0"/>
    <x v="0"/>
    <n v="0"/>
    <n v="0"/>
    <n v="0"/>
    <m/>
    <n v="76.599999999999994"/>
    <m/>
    <n v="0"/>
  </r>
  <r>
    <s v="USR-101135"/>
    <d v="2025-03-24T00:00:00"/>
    <x v="1"/>
    <x v="2"/>
    <x v="1"/>
    <x v="4"/>
    <s v="Basic"/>
    <n v="1"/>
    <n v="0"/>
    <n v="0"/>
    <x v="0"/>
    <n v="0"/>
    <n v="0"/>
    <n v="0"/>
    <m/>
    <n v="74.8"/>
    <m/>
    <n v="0"/>
  </r>
  <r>
    <s v="USR-101136"/>
    <d v="2025-03-18T00:00:00"/>
    <x v="1"/>
    <x v="2"/>
    <x v="0"/>
    <x v="0"/>
    <s v="Premium"/>
    <n v="1"/>
    <n v="0"/>
    <n v="0"/>
    <x v="0"/>
    <n v="0"/>
    <n v="2"/>
    <n v="0"/>
    <m/>
    <n v="38.1"/>
    <m/>
    <n v="1"/>
  </r>
  <r>
    <s v="USR-101137"/>
    <d v="2025-04-30T00:00:00"/>
    <x v="1"/>
    <x v="3"/>
    <x v="2"/>
    <x v="2"/>
    <s v="Basic"/>
    <n v="1"/>
    <n v="1"/>
    <n v="0"/>
    <x v="0"/>
    <n v="0"/>
    <n v="0"/>
    <n v="0"/>
    <m/>
    <n v="60.2"/>
    <m/>
    <n v="0"/>
  </r>
  <r>
    <s v="USR-101138"/>
    <d v="2025-01-25T00:00:00"/>
    <x v="1"/>
    <x v="1"/>
    <x v="1"/>
    <x v="0"/>
    <s v="Free"/>
    <n v="1"/>
    <n v="1"/>
    <n v="0"/>
    <x v="0"/>
    <n v="0"/>
    <n v="0"/>
    <n v="0"/>
    <m/>
    <n v="73.5"/>
    <m/>
    <n v="0"/>
  </r>
  <r>
    <s v="USR-101139"/>
    <d v="2025-04-10T00:00:00"/>
    <x v="1"/>
    <x v="3"/>
    <x v="1"/>
    <x v="1"/>
    <s v="Free"/>
    <n v="1"/>
    <n v="0"/>
    <n v="0"/>
    <x v="0"/>
    <n v="0"/>
    <n v="0"/>
    <n v="0"/>
    <m/>
    <n v="70.900000000000006"/>
    <m/>
    <n v="0"/>
  </r>
  <r>
    <s v="USR-101140"/>
    <d v="2025-01-10T00:00:00"/>
    <x v="1"/>
    <x v="1"/>
    <x v="1"/>
    <x v="4"/>
    <s v="Free"/>
    <n v="1"/>
    <n v="0"/>
    <n v="0"/>
    <x v="0"/>
    <n v="0"/>
    <n v="0"/>
    <n v="0"/>
    <m/>
    <n v="63.7"/>
    <m/>
    <n v="0"/>
  </r>
  <r>
    <s v="USR-101141"/>
    <d v="2025-02-11T00:00:00"/>
    <x v="1"/>
    <x v="3"/>
    <x v="1"/>
    <x v="2"/>
    <s v="Free"/>
    <n v="1"/>
    <n v="0"/>
    <n v="0"/>
    <x v="0"/>
    <n v="0"/>
    <n v="0"/>
    <n v="0"/>
    <m/>
    <n v="86.5"/>
    <m/>
    <n v="0"/>
  </r>
  <r>
    <s v="USR-101142"/>
    <d v="2025-05-01T00:00:00"/>
    <x v="1"/>
    <x v="2"/>
    <x v="1"/>
    <x v="4"/>
    <s v="Basic"/>
    <n v="1"/>
    <n v="1"/>
    <n v="1"/>
    <x v="1"/>
    <n v="921.72"/>
    <n v="3"/>
    <n v="0"/>
    <n v="7"/>
    <n v="74.599999999999994"/>
    <m/>
    <n v="1"/>
  </r>
  <r>
    <s v="USR-101143"/>
    <d v="2025-01-18T00:00:00"/>
    <x v="1"/>
    <x v="2"/>
    <x v="1"/>
    <x v="1"/>
    <s v="Free"/>
    <n v="1"/>
    <n v="0"/>
    <n v="0"/>
    <x v="0"/>
    <n v="0"/>
    <n v="0"/>
    <n v="0"/>
    <m/>
    <n v="46.6"/>
    <m/>
    <n v="0"/>
  </r>
  <r>
    <s v="USR-101144"/>
    <d v="2025-01-02T00:00:00"/>
    <x v="1"/>
    <x v="0"/>
    <x v="1"/>
    <x v="2"/>
    <s v="Free"/>
    <n v="0"/>
    <n v="0"/>
    <n v="0"/>
    <x v="0"/>
    <n v="0"/>
    <n v="0"/>
    <n v="0"/>
    <m/>
    <n v="61.2"/>
    <m/>
    <n v="0"/>
  </r>
  <r>
    <s v="USR-101145"/>
    <d v="2025-05-11T00:00:00"/>
    <x v="1"/>
    <x v="1"/>
    <x v="1"/>
    <x v="1"/>
    <s v="Free"/>
    <n v="1"/>
    <n v="1"/>
    <n v="1"/>
    <x v="1"/>
    <n v="290.39"/>
    <n v="0"/>
    <n v="0"/>
    <n v="4"/>
    <n v="54.4"/>
    <m/>
    <n v="0"/>
  </r>
  <r>
    <s v="USR-101146"/>
    <d v="2025-03-22T00:00:00"/>
    <x v="1"/>
    <x v="0"/>
    <x v="1"/>
    <x v="3"/>
    <s v="Free"/>
    <n v="1"/>
    <n v="1"/>
    <n v="1"/>
    <x v="0"/>
    <n v="0"/>
    <n v="0"/>
    <n v="0"/>
    <m/>
    <n v="72"/>
    <m/>
    <n v="0"/>
  </r>
  <r>
    <s v="USR-101147"/>
    <d v="2025-05-02T00:00:00"/>
    <x v="1"/>
    <x v="3"/>
    <x v="1"/>
    <x v="4"/>
    <s v="Premium"/>
    <n v="1"/>
    <n v="1"/>
    <n v="1"/>
    <x v="1"/>
    <n v="1858.85"/>
    <n v="0"/>
    <n v="0"/>
    <n v="8"/>
    <n v="88.6"/>
    <m/>
    <n v="0"/>
  </r>
  <r>
    <s v="USR-101148"/>
    <d v="2025-05-26T00:00:00"/>
    <x v="1"/>
    <x v="2"/>
    <x v="0"/>
    <x v="5"/>
    <s v="Basic"/>
    <n v="1"/>
    <n v="0"/>
    <n v="0"/>
    <x v="0"/>
    <n v="0"/>
    <n v="0"/>
    <n v="0"/>
    <m/>
    <n v="77.599999999999994"/>
    <m/>
    <n v="0"/>
  </r>
  <r>
    <s v="USR-101149"/>
    <d v="2025-03-13T00:00:00"/>
    <x v="1"/>
    <x v="3"/>
    <x v="1"/>
    <x v="1"/>
    <s v="Basic"/>
    <n v="1"/>
    <n v="0"/>
    <n v="0"/>
    <x v="0"/>
    <n v="0"/>
    <n v="1"/>
    <n v="0"/>
    <m/>
    <n v="44.3"/>
    <m/>
    <n v="1"/>
  </r>
  <r>
    <s v="USR-101150"/>
    <d v="2025-05-17T00:00:00"/>
    <x v="1"/>
    <x v="3"/>
    <x v="0"/>
    <x v="2"/>
    <s v="Free"/>
    <n v="1"/>
    <n v="1"/>
    <n v="0"/>
    <x v="0"/>
    <n v="0"/>
    <n v="0"/>
    <n v="0"/>
    <m/>
    <n v="49"/>
    <m/>
    <n v="0"/>
  </r>
  <r>
    <s v="USR-101151"/>
    <d v="2025-03-13T00:00:00"/>
    <x v="1"/>
    <x v="0"/>
    <x v="0"/>
    <x v="3"/>
    <s v="Premium"/>
    <n v="1"/>
    <n v="0"/>
    <n v="0"/>
    <x v="0"/>
    <n v="0"/>
    <n v="0"/>
    <n v="0"/>
    <m/>
    <n v="53.9"/>
    <m/>
    <n v="0"/>
  </r>
  <r>
    <s v="USR-101152"/>
    <d v="2025-02-11T00:00:00"/>
    <x v="1"/>
    <x v="2"/>
    <x v="0"/>
    <x v="1"/>
    <s v="Basic"/>
    <n v="1"/>
    <n v="0"/>
    <n v="0"/>
    <x v="0"/>
    <n v="0"/>
    <n v="1"/>
    <n v="0"/>
    <m/>
    <n v="69"/>
    <m/>
    <n v="1"/>
  </r>
  <r>
    <s v="USR-101153"/>
    <d v="2025-03-01T00:00:00"/>
    <x v="1"/>
    <x v="1"/>
    <x v="1"/>
    <x v="4"/>
    <s v="Free"/>
    <n v="0"/>
    <n v="0"/>
    <n v="0"/>
    <x v="0"/>
    <n v="0"/>
    <n v="0"/>
    <n v="0"/>
    <m/>
    <n v="37.4"/>
    <m/>
    <n v="0"/>
  </r>
  <r>
    <s v="USR-101154"/>
    <d v="2025-04-15T00:00:00"/>
    <x v="1"/>
    <x v="1"/>
    <x v="1"/>
    <x v="1"/>
    <s v="Basic"/>
    <n v="0"/>
    <n v="0"/>
    <n v="0"/>
    <x v="0"/>
    <n v="0"/>
    <n v="0"/>
    <n v="0"/>
    <m/>
    <n v="59"/>
    <m/>
    <n v="0"/>
  </r>
  <r>
    <s v="USR-101155"/>
    <d v="2025-02-02T00:00:00"/>
    <x v="1"/>
    <x v="2"/>
    <x v="1"/>
    <x v="1"/>
    <s v="Premium"/>
    <n v="1"/>
    <n v="0"/>
    <n v="0"/>
    <x v="0"/>
    <n v="0"/>
    <n v="0"/>
    <n v="0"/>
    <m/>
    <n v="60.8"/>
    <m/>
    <n v="0"/>
  </r>
  <r>
    <s v="USR-101156"/>
    <d v="2025-05-19T00:00:00"/>
    <x v="1"/>
    <x v="3"/>
    <x v="1"/>
    <x v="0"/>
    <s v="Free"/>
    <n v="1"/>
    <n v="0"/>
    <n v="0"/>
    <x v="0"/>
    <n v="0"/>
    <n v="0"/>
    <n v="0"/>
    <m/>
    <n v="57.5"/>
    <m/>
    <n v="0"/>
  </r>
  <r>
    <s v="USR-101157"/>
    <d v="2025-01-05T00:00:00"/>
    <x v="1"/>
    <x v="1"/>
    <x v="1"/>
    <x v="3"/>
    <s v="Free"/>
    <n v="0"/>
    <n v="0"/>
    <n v="0"/>
    <x v="0"/>
    <n v="0"/>
    <n v="0"/>
    <n v="0"/>
    <m/>
    <n v="84.2"/>
    <m/>
    <n v="0"/>
  </r>
  <r>
    <s v="USR-101158"/>
    <d v="2025-03-08T00:00:00"/>
    <x v="1"/>
    <x v="3"/>
    <x v="1"/>
    <x v="2"/>
    <s v="Free"/>
    <n v="1"/>
    <n v="1"/>
    <n v="0"/>
    <x v="0"/>
    <n v="0"/>
    <n v="0"/>
    <n v="0"/>
    <m/>
    <n v="27.4"/>
    <m/>
    <n v="0"/>
  </r>
  <r>
    <s v="USR-101159"/>
    <d v="2025-03-12T00:00:00"/>
    <x v="1"/>
    <x v="1"/>
    <x v="1"/>
    <x v="0"/>
    <s v="Basic"/>
    <n v="1"/>
    <n v="0"/>
    <n v="0"/>
    <x v="0"/>
    <n v="0"/>
    <n v="1"/>
    <n v="0"/>
    <m/>
    <n v="67.599999999999994"/>
    <m/>
    <n v="1"/>
  </r>
  <r>
    <s v="USR-101160"/>
    <d v="2025-01-24T00:00:00"/>
    <x v="1"/>
    <x v="1"/>
    <x v="1"/>
    <x v="1"/>
    <s v="Free"/>
    <n v="0"/>
    <n v="0"/>
    <n v="0"/>
    <x v="0"/>
    <n v="0"/>
    <n v="0"/>
    <n v="0"/>
    <m/>
    <n v="68.400000000000006"/>
    <m/>
    <n v="0"/>
  </r>
  <r>
    <s v="USR-101161"/>
    <d v="2025-05-22T00:00:00"/>
    <x v="1"/>
    <x v="3"/>
    <x v="1"/>
    <x v="2"/>
    <s v="Basic"/>
    <n v="1"/>
    <n v="1"/>
    <n v="1"/>
    <x v="0"/>
    <n v="0"/>
    <n v="0"/>
    <n v="0"/>
    <m/>
    <n v="66.5"/>
    <m/>
    <n v="0"/>
  </r>
  <r>
    <s v="USR-101162"/>
    <d v="2025-03-27T00:00:00"/>
    <x v="1"/>
    <x v="3"/>
    <x v="1"/>
    <x v="2"/>
    <s v="Free"/>
    <n v="1"/>
    <n v="0"/>
    <n v="0"/>
    <x v="0"/>
    <n v="0"/>
    <n v="0"/>
    <n v="0"/>
    <m/>
    <n v="38.200000000000003"/>
    <m/>
    <n v="0"/>
  </r>
  <r>
    <s v="USR-101163"/>
    <d v="2025-01-02T00:00:00"/>
    <x v="1"/>
    <x v="1"/>
    <x v="1"/>
    <x v="4"/>
    <s v="Free"/>
    <n v="0"/>
    <n v="0"/>
    <n v="0"/>
    <x v="0"/>
    <n v="0"/>
    <n v="1"/>
    <n v="0"/>
    <m/>
    <n v="66.7"/>
    <m/>
    <n v="1"/>
  </r>
  <r>
    <s v="USR-101164"/>
    <d v="2025-02-24T00:00:00"/>
    <x v="1"/>
    <x v="0"/>
    <x v="1"/>
    <x v="2"/>
    <s v="Free"/>
    <n v="0"/>
    <n v="0"/>
    <n v="0"/>
    <x v="0"/>
    <n v="0"/>
    <n v="1"/>
    <n v="0"/>
    <m/>
    <n v="73.7"/>
    <m/>
    <n v="1"/>
  </r>
  <r>
    <s v="USR-101165"/>
    <d v="2025-03-01T00:00:00"/>
    <x v="1"/>
    <x v="1"/>
    <x v="0"/>
    <x v="1"/>
    <s v="Basic"/>
    <n v="1"/>
    <n v="1"/>
    <n v="1"/>
    <x v="0"/>
    <n v="0"/>
    <n v="0"/>
    <n v="0"/>
    <m/>
    <n v="63.9"/>
    <m/>
    <n v="0"/>
  </r>
  <r>
    <s v="USR-101166"/>
    <d v="2025-03-26T00:00:00"/>
    <x v="1"/>
    <x v="3"/>
    <x v="2"/>
    <x v="1"/>
    <s v="Basic"/>
    <n v="1"/>
    <n v="0"/>
    <n v="0"/>
    <x v="0"/>
    <n v="0"/>
    <n v="1"/>
    <n v="0"/>
    <m/>
    <n v="82.6"/>
    <m/>
    <n v="1"/>
  </r>
  <r>
    <s v="USR-101167"/>
    <d v="2025-05-25T00:00:00"/>
    <x v="1"/>
    <x v="2"/>
    <x v="1"/>
    <x v="2"/>
    <s v="Free"/>
    <n v="0"/>
    <n v="0"/>
    <n v="0"/>
    <x v="0"/>
    <n v="0"/>
    <n v="1"/>
    <n v="0"/>
    <m/>
    <n v="58.3"/>
    <m/>
    <n v="1"/>
  </r>
  <r>
    <s v="USR-101168"/>
    <d v="2025-02-25T00:00:00"/>
    <x v="1"/>
    <x v="1"/>
    <x v="1"/>
    <x v="3"/>
    <s v="Premium"/>
    <n v="1"/>
    <n v="1"/>
    <n v="1"/>
    <x v="1"/>
    <n v="1547.06"/>
    <n v="0"/>
    <n v="1"/>
    <n v="2"/>
    <n v="72.900000000000006"/>
    <m/>
    <n v="0"/>
  </r>
  <r>
    <s v="USR-101169"/>
    <d v="2025-03-23T00:00:00"/>
    <x v="1"/>
    <x v="3"/>
    <x v="1"/>
    <x v="4"/>
    <s v="Free"/>
    <n v="1"/>
    <n v="1"/>
    <n v="1"/>
    <x v="0"/>
    <n v="0"/>
    <n v="2"/>
    <n v="0"/>
    <m/>
    <n v="53.5"/>
    <m/>
    <n v="1"/>
  </r>
  <r>
    <s v="USR-101170"/>
    <d v="2025-04-21T00:00:00"/>
    <x v="1"/>
    <x v="1"/>
    <x v="1"/>
    <x v="3"/>
    <s v="Free"/>
    <n v="1"/>
    <n v="0"/>
    <n v="0"/>
    <x v="0"/>
    <n v="0"/>
    <n v="0"/>
    <n v="0"/>
    <m/>
    <n v="54.8"/>
    <m/>
    <n v="0"/>
  </r>
  <r>
    <s v="USR-101171"/>
    <d v="2025-05-21T00:00:00"/>
    <x v="1"/>
    <x v="0"/>
    <x v="1"/>
    <x v="1"/>
    <s v="Premium"/>
    <n v="1"/>
    <n v="0"/>
    <n v="0"/>
    <x v="0"/>
    <n v="0"/>
    <n v="0"/>
    <n v="0"/>
    <m/>
    <n v="69.5"/>
    <m/>
    <n v="0"/>
  </r>
  <r>
    <s v="USR-101172"/>
    <d v="2025-04-25T00:00:00"/>
    <x v="1"/>
    <x v="0"/>
    <x v="0"/>
    <x v="4"/>
    <s v="Free"/>
    <n v="1"/>
    <n v="0"/>
    <n v="0"/>
    <x v="0"/>
    <n v="0"/>
    <n v="1"/>
    <n v="0"/>
    <m/>
    <n v="71.3"/>
    <m/>
    <n v="1"/>
  </r>
  <r>
    <s v="USR-101173"/>
    <d v="2025-05-23T00:00:00"/>
    <x v="1"/>
    <x v="1"/>
    <x v="1"/>
    <x v="3"/>
    <s v="Basic"/>
    <n v="1"/>
    <n v="0"/>
    <n v="0"/>
    <x v="0"/>
    <n v="0"/>
    <n v="1"/>
    <n v="0"/>
    <m/>
    <n v="57.5"/>
    <m/>
    <n v="1"/>
  </r>
  <r>
    <s v="USR-101174"/>
    <d v="2025-03-18T00:00:00"/>
    <x v="1"/>
    <x v="3"/>
    <x v="1"/>
    <x v="0"/>
    <s v="Free"/>
    <n v="1"/>
    <n v="0"/>
    <n v="0"/>
    <x v="0"/>
    <n v="0"/>
    <n v="4"/>
    <n v="0"/>
    <m/>
    <n v="50.9"/>
    <m/>
    <n v="1"/>
  </r>
  <r>
    <s v="USR-101175"/>
    <d v="2025-01-03T00:00:00"/>
    <x v="1"/>
    <x v="3"/>
    <x v="2"/>
    <x v="1"/>
    <s v="Free"/>
    <n v="1"/>
    <n v="1"/>
    <n v="1"/>
    <x v="0"/>
    <n v="0"/>
    <n v="0"/>
    <n v="0"/>
    <m/>
    <n v="69.3"/>
    <m/>
    <n v="0"/>
  </r>
  <r>
    <s v="USR-101176"/>
    <d v="2025-02-08T00:00:00"/>
    <x v="1"/>
    <x v="1"/>
    <x v="0"/>
    <x v="1"/>
    <s v="Free"/>
    <n v="1"/>
    <n v="0"/>
    <n v="0"/>
    <x v="0"/>
    <n v="0"/>
    <n v="0"/>
    <n v="0"/>
    <m/>
    <n v="50.1"/>
    <m/>
    <n v="0"/>
  </r>
  <r>
    <s v="USR-101177"/>
    <d v="2025-02-04T00:00:00"/>
    <x v="1"/>
    <x v="2"/>
    <x v="3"/>
    <x v="2"/>
    <s v="Basic"/>
    <n v="0"/>
    <n v="0"/>
    <n v="0"/>
    <x v="0"/>
    <n v="0"/>
    <n v="0"/>
    <n v="0"/>
    <m/>
    <n v="69.7"/>
    <m/>
    <n v="0"/>
  </r>
  <r>
    <s v="USR-101178"/>
    <d v="2025-01-16T00:00:00"/>
    <x v="1"/>
    <x v="0"/>
    <x v="1"/>
    <x v="2"/>
    <s v="Free"/>
    <n v="0"/>
    <n v="0"/>
    <n v="0"/>
    <x v="0"/>
    <n v="0"/>
    <n v="0"/>
    <n v="0"/>
    <m/>
    <n v="63.5"/>
    <m/>
    <n v="0"/>
  </r>
  <r>
    <s v="USR-101179"/>
    <d v="2025-04-04T00:00:00"/>
    <x v="1"/>
    <x v="1"/>
    <x v="0"/>
    <x v="2"/>
    <s v="Free"/>
    <n v="1"/>
    <n v="1"/>
    <n v="1"/>
    <x v="1"/>
    <n v="265.58999999999997"/>
    <n v="1"/>
    <n v="0"/>
    <n v="8"/>
    <n v="80.400000000000006"/>
    <m/>
    <n v="1"/>
  </r>
  <r>
    <s v="USR-101180"/>
    <d v="2025-01-23T00:00:00"/>
    <x v="1"/>
    <x v="0"/>
    <x v="0"/>
    <x v="2"/>
    <s v="Free"/>
    <n v="0"/>
    <n v="0"/>
    <n v="0"/>
    <x v="0"/>
    <n v="0"/>
    <n v="0"/>
    <n v="0"/>
    <m/>
    <n v="58.9"/>
    <m/>
    <n v="0"/>
  </r>
  <r>
    <s v="USR-101181"/>
    <d v="2025-03-22T00:00:00"/>
    <x v="1"/>
    <x v="3"/>
    <x v="0"/>
    <x v="2"/>
    <s v="Free"/>
    <n v="1"/>
    <n v="0"/>
    <n v="0"/>
    <x v="0"/>
    <n v="0"/>
    <n v="0"/>
    <n v="0"/>
    <m/>
    <n v="56.8"/>
    <m/>
    <n v="0"/>
  </r>
  <r>
    <s v="USR-101182"/>
    <d v="2025-02-02T00:00:00"/>
    <x v="1"/>
    <x v="2"/>
    <x v="2"/>
    <x v="4"/>
    <s v="Premium"/>
    <n v="0"/>
    <n v="0"/>
    <n v="0"/>
    <x v="0"/>
    <n v="0"/>
    <n v="0"/>
    <n v="0"/>
    <m/>
    <n v="73.900000000000006"/>
    <m/>
    <n v="0"/>
  </r>
  <r>
    <s v="USR-101183"/>
    <d v="2025-01-31T00:00:00"/>
    <x v="1"/>
    <x v="0"/>
    <x v="0"/>
    <x v="2"/>
    <s v="Free"/>
    <n v="0"/>
    <n v="0"/>
    <n v="0"/>
    <x v="0"/>
    <n v="0"/>
    <n v="0"/>
    <n v="0"/>
    <m/>
    <n v="76.3"/>
    <m/>
    <n v="0"/>
  </r>
  <r>
    <s v="USR-101184"/>
    <d v="2025-05-27T00:00:00"/>
    <x v="1"/>
    <x v="1"/>
    <x v="1"/>
    <x v="1"/>
    <s v="Basic"/>
    <n v="1"/>
    <n v="0"/>
    <n v="0"/>
    <x v="0"/>
    <n v="0"/>
    <n v="0"/>
    <n v="0"/>
    <m/>
    <n v="56.9"/>
    <m/>
    <n v="0"/>
  </r>
  <r>
    <s v="USR-101185"/>
    <d v="2025-05-07T00:00:00"/>
    <x v="1"/>
    <x v="0"/>
    <x v="1"/>
    <x v="1"/>
    <s v="Premium"/>
    <n v="1"/>
    <n v="0"/>
    <n v="0"/>
    <x v="0"/>
    <n v="0"/>
    <n v="2"/>
    <n v="0"/>
    <m/>
    <n v="49.4"/>
    <m/>
    <n v="1"/>
  </r>
  <r>
    <s v="USR-101186"/>
    <d v="2025-05-08T00:00:00"/>
    <x v="1"/>
    <x v="0"/>
    <x v="0"/>
    <x v="2"/>
    <s v="Basic"/>
    <n v="1"/>
    <n v="0"/>
    <n v="0"/>
    <x v="0"/>
    <n v="0"/>
    <n v="0"/>
    <n v="0"/>
    <m/>
    <n v="86.7"/>
    <m/>
    <n v="0"/>
  </r>
  <r>
    <s v="USR-101187"/>
    <d v="2025-01-15T00:00:00"/>
    <x v="1"/>
    <x v="1"/>
    <x v="0"/>
    <x v="0"/>
    <s v="Free"/>
    <n v="1"/>
    <n v="0"/>
    <n v="0"/>
    <x v="0"/>
    <n v="0"/>
    <n v="3"/>
    <n v="0"/>
    <m/>
    <n v="69"/>
    <m/>
    <n v="1"/>
  </r>
  <r>
    <s v="USR-101188"/>
    <d v="2025-01-18T00:00:00"/>
    <x v="1"/>
    <x v="0"/>
    <x v="1"/>
    <x v="2"/>
    <s v="Free"/>
    <n v="0"/>
    <n v="0"/>
    <n v="0"/>
    <x v="0"/>
    <n v="0"/>
    <n v="0"/>
    <n v="0"/>
    <m/>
    <n v="84.5"/>
    <m/>
    <n v="0"/>
  </r>
  <r>
    <s v="USR-101189"/>
    <d v="2025-04-16T00:00:00"/>
    <x v="1"/>
    <x v="2"/>
    <x v="3"/>
    <x v="3"/>
    <s v="Free"/>
    <n v="1"/>
    <n v="0"/>
    <n v="0"/>
    <x v="0"/>
    <n v="0"/>
    <n v="0"/>
    <n v="0"/>
    <m/>
    <n v="66.3"/>
    <m/>
    <n v="0"/>
  </r>
  <r>
    <s v="USR-101190"/>
    <d v="2025-02-16T00:00:00"/>
    <x v="1"/>
    <x v="2"/>
    <x v="0"/>
    <x v="2"/>
    <s v="Free"/>
    <n v="0"/>
    <n v="0"/>
    <n v="0"/>
    <x v="0"/>
    <n v="0"/>
    <n v="0"/>
    <n v="0"/>
    <m/>
    <n v="52.2"/>
    <m/>
    <n v="0"/>
  </r>
  <r>
    <s v="USR-101191"/>
    <d v="2025-04-17T00:00:00"/>
    <x v="1"/>
    <x v="3"/>
    <x v="0"/>
    <x v="3"/>
    <s v="Premium"/>
    <n v="1"/>
    <n v="1"/>
    <n v="1"/>
    <x v="0"/>
    <n v="0"/>
    <n v="0"/>
    <n v="0"/>
    <m/>
    <n v="81.2"/>
    <m/>
    <n v="0"/>
  </r>
  <r>
    <s v="USR-101192"/>
    <d v="2025-04-30T00:00:00"/>
    <x v="1"/>
    <x v="3"/>
    <x v="1"/>
    <x v="1"/>
    <s v="Basic"/>
    <n v="0"/>
    <n v="0"/>
    <n v="0"/>
    <x v="0"/>
    <n v="0"/>
    <n v="0"/>
    <n v="0"/>
    <m/>
    <n v="53.9"/>
    <m/>
    <n v="0"/>
  </r>
  <r>
    <s v="USR-101193"/>
    <d v="2025-01-29T00:00:00"/>
    <x v="1"/>
    <x v="1"/>
    <x v="1"/>
    <x v="4"/>
    <s v="Premium"/>
    <n v="0"/>
    <n v="0"/>
    <n v="0"/>
    <x v="0"/>
    <n v="0"/>
    <n v="0"/>
    <n v="0"/>
    <m/>
    <n v="39.1"/>
    <m/>
    <n v="0"/>
  </r>
  <r>
    <s v="USR-101194"/>
    <d v="2025-01-11T00:00:00"/>
    <x v="1"/>
    <x v="0"/>
    <x v="1"/>
    <x v="4"/>
    <s v="Basic"/>
    <n v="0"/>
    <n v="0"/>
    <n v="0"/>
    <x v="0"/>
    <n v="0"/>
    <n v="0"/>
    <n v="0"/>
    <m/>
    <n v="57.3"/>
    <m/>
    <n v="0"/>
  </r>
  <r>
    <s v="USR-101195"/>
    <d v="2025-04-08T00:00:00"/>
    <x v="1"/>
    <x v="2"/>
    <x v="0"/>
    <x v="2"/>
    <s v="Premium"/>
    <n v="1"/>
    <n v="0"/>
    <n v="0"/>
    <x v="0"/>
    <n v="0"/>
    <n v="1"/>
    <n v="0"/>
    <m/>
    <n v="65.900000000000006"/>
    <m/>
    <n v="1"/>
  </r>
  <r>
    <s v="USR-101196"/>
    <d v="2025-02-22T00:00:00"/>
    <x v="1"/>
    <x v="0"/>
    <x v="3"/>
    <x v="4"/>
    <s v="Free"/>
    <n v="1"/>
    <n v="0"/>
    <n v="0"/>
    <x v="0"/>
    <n v="0"/>
    <n v="1"/>
    <n v="0"/>
    <m/>
    <n v="34.200000000000003"/>
    <m/>
    <n v="1"/>
  </r>
  <r>
    <s v="USR-101197"/>
    <d v="2025-03-23T00:00:00"/>
    <x v="1"/>
    <x v="3"/>
    <x v="1"/>
    <x v="1"/>
    <s v="Free"/>
    <n v="0"/>
    <n v="0"/>
    <n v="0"/>
    <x v="0"/>
    <n v="0"/>
    <n v="0"/>
    <n v="0"/>
    <m/>
    <n v="47.2"/>
    <m/>
    <n v="0"/>
  </r>
  <r>
    <s v="USR-101198"/>
    <d v="2025-05-23T00:00:00"/>
    <x v="1"/>
    <x v="3"/>
    <x v="2"/>
    <x v="2"/>
    <s v="Free"/>
    <n v="1"/>
    <n v="0"/>
    <n v="0"/>
    <x v="0"/>
    <n v="0"/>
    <n v="1"/>
    <n v="0"/>
    <m/>
    <n v="55"/>
    <m/>
    <n v="1"/>
  </r>
  <r>
    <s v="USR-101199"/>
    <d v="2025-04-27T00:00:00"/>
    <x v="1"/>
    <x v="1"/>
    <x v="1"/>
    <x v="3"/>
    <s v="Basic"/>
    <n v="1"/>
    <n v="1"/>
    <n v="1"/>
    <x v="0"/>
    <n v="0"/>
    <n v="0"/>
    <n v="0"/>
    <m/>
    <n v="76.400000000000006"/>
    <m/>
    <n v="0"/>
  </r>
  <r>
    <s v="USR-101200"/>
    <d v="2025-05-26T00:00:00"/>
    <x v="1"/>
    <x v="0"/>
    <x v="1"/>
    <x v="3"/>
    <s v="Free"/>
    <n v="1"/>
    <n v="0"/>
    <n v="0"/>
    <x v="0"/>
    <n v="0"/>
    <n v="0"/>
    <n v="0"/>
    <m/>
    <n v="70.8"/>
    <m/>
    <n v="0"/>
  </r>
  <r>
    <s v="USR-101201"/>
    <d v="2025-03-06T00:00:00"/>
    <x v="1"/>
    <x v="2"/>
    <x v="1"/>
    <x v="2"/>
    <s v="Basic"/>
    <n v="1"/>
    <n v="1"/>
    <n v="0"/>
    <x v="0"/>
    <n v="0"/>
    <n v="1"/>
    <n v="0"/>
    <m/>
    <n v="58"/>
    <m/>
    <n v="1"/>
  </r>
  <r>
    <s v="USR-101202"/>
    <d v="2025-04-03T00:00:00"/>
    <x v="1"/>
    <x v="1"/>
    <x v="1"/>
    <x v="1"/>
    <s v="Basic"/>
    <n v="1"/>
    <n v="1"/>
    <n v="1"/>
    <x v="0"/>
    <n v="0"/>
    <n v="1"/>
    <n v="0"/>
    <m/>
    <n v="70.8"/>
    <m/>
    <n v="1"/>
  </r>
  <r>
    <s v="USR-101203"/>
    <d v="2025-02-01T00:00:00"/>
    <x v="1"/>
    <x v="2"/>
    <x v="0"/>
    <x v="2"/>
    <s v="Free"/>
    <n v="1"/>
    <n v="0"/>
    <n v="0"/>
    <x v="0"/>
    <n v="0"/>
    <n v="3"/>
    <n v="0"/>
    <m/>
    <n v="60"/>
    <m/>
    <n v="1"/>
  </r>
  <r>
    <s v="USR-101204"/>
    <d v="2025-05-01T00:00:00"/>
    <x v="1"/>
    <x v="1"/>
    <x v="1"/>
    <x v="3"/>
    <s v="Premium"/>
    <n v="1"/>
    <n v="1"/>
    <n v="1"/>
    <x v="0"/>
    <n v="0"/>
    <n v="3"/>
    <n v="0"/>
    <m/>
    <n v="58.1"/>
    <m/>
    <n v="1"/>
  </r>
  <r>
    <s v="USR-101205"/>
    <d v="2025-04-13T00:00:00"/>
    <x v="1"/>
    <x v="0"/>
    <x v="1"/>
    <x v="4"/>
    <s v="Premium"/>
    <n v="0"/>
    <n v="0"/>
    <n v="0"/>
    <x v="0"/>
    <n v="0"/>
    <n v="0"/>
    <n v="0"/>
    <m/>
    <n v="59.7"/>
    <m/>
    <n v="0"/>
  </r>
  <r>
    <s v="USR-101206"/>
    <d v="2025-01-25T00:00:00"/>
    <x v="1"/>
    <x v="2"/>
    <x v="1"/>
    <x v="4"/>
    <s v="Free"/>
    <n v="0"/>
    <n v="0"/>
    <n v="0"/>
    <x v="0"/>
    <n v="0"/>
    <n v="0"/>
    <n v="0"/>
    <m/>
    <n v="47.7"/>
    <m/>
    <n v="0"/>
  </r>
  <r>
    <s v="USR-101207"/>
    <d v="2025-03-17T00:00:00"/>
    <x v="1"/>
    <x v="0"/>
    <x v="1"/>
    <x v="1"/>
    <s v="Free"/>
    <n v="0"/>
    <n v="0"/>
    <n v="0"/>
    <x v="0"/>
    <n v="0"/>
    <n v="0"/>
    <n v="0"/>
    <m/>
    <n v="59.1"/>
    <m/>
    <n v="0"/>
  </r>
  <r>
    <s v="USR-101208"/>
    <d v="2025-02-21T00:00:00"/>
    <x v="1"/>
    <x v="1"/>
    <x v="0"/>
    <x v="4"/>
    <s v="Basic"/>
    <n v="1"/>
    <n v="0"/>
    <n v="0"/>
    <x v="0"/>
    <n v="0"/>
    <n v="1"/>
    <n v="0"/>
    <m/>
    <n v="68.7"/>
    <m/>
    <n v="1"/>
  </r>
  <r>
    <s v="USR-101209"/>
    <d v="2025-04-08T00:00:00"/>
    <x v="1"/>
    <x v="2"/>
    <x v="2"/>
    <x v="1"/>
    <s v="Basic"/>
    <n v="0"/>
    <n v="0"/>
    <n v="0"/>
    <x v="0"/>
    <n v="0"/>
    <n v="0"/>
    <n v="0"/>
    <m/>
    <n v="34.700000000000003"/>
    <m/>
    <n v="0"/>
  </r>
  <r>
    <s v="USR-101210"/>
    <d v="2025-02-24T00:00:00"/>
    <x v="1"/>
    <x v="1"/>
    <x v="1"/>
    <x v="1"/>
    <s v="Basic"/>
    <n v="1"/>
    <n v="0"/>
    <n v="0"/>
    <x v="0"/>
    <n v="0"/>
    <n v="0"/>
    <n v="0"/>
    <m/>
    <n v="62"/>
    <m/>
    <n v="0"/>
  </r>
  <r>
    <s v="USR-101211"/>
    <d v="2025-05-29T00:00:00"/>
    <x v="1"/>
    <x v="3"/>
    <x v="1"/>
    <x v="1"/>
    <s v="Free"/>
    <n v="1"/>
    <n v="1"/>
    <n v="0"/>
    <x v="0"/>
    <n v="0"/>
    <n v="0"/>
    <n v="0"/>
    <m/>
    <n v="56"/>
    <m/>
    <n v="0"/>
  </r>
  <r>
    <s v="USR-101212"/>
    <d v="2025-05-30T00:00:00"/>
    <x v="1"/>
    <x v="0"/>
    <x v="1"/>
    <x v="0"/>
    <s v="Basic"/>
    <n v="1"/>
    <n v="0"/>
    <n v="0"/>
    <x v="0"/>
    <n v="0"/>
    <n v="1"/>
    <n v="0"/>
    <m/>
    <n v="65.8"/>
    <m/>
    <n v="1"/>
  </r>
  <r>
    <s v="USR-101213"/>
    <d v="2025-01-24T00:00:00"/>
    <x v="1"/>
    <x v="0"/>
    <x v="0"/>
    <x v="1"/>
    <s v="Premium"/>
    <n v="0"/>
    <n v="0"/>
    <n v="0"/>
    <x v="0"/>
    <n v="0"/>
    <n v="0"/>
    <n v="0"/>
    <m/>
    <n v="54.7"/>
    <m/>
    <n v="0"/>
  </r>
  <r>
    <s v="USR-101214"/>
    <d v="2025-05-12T00:00:00"/>
    <x v="1"/>
    <x v="3"/>
    <x v="1"/>
    <x v="1"/>
    <s v="Basic"/>
    <n v="1"/>
    <n v="1"/>
    <n v="0"/>
    <x v="0"/>
    <n v="0"/>
    <n v="0"/>
    <n v="0"/>
    <m/>
    <n v="64.099999999999994"/>
    <m/>
    <n v="0"/>
  </r>
  <r>
    <s v="USR-101215"/>
    <d v="2025-03-28T00:00:00"/>
    <x v="1"/>
    <x v="3"/>
    <x v="1"/>
    <x v="1"/>
    <s v="Basic"/>
    <n v="1"/>
    <n v="1"/>
    <n v="1"/>
    <x v="0"/>
    <n v="0"/>
    <n v="0"/>
    <n v="0"/>
    <m/>
    <n v="71.599999999999994"/>
    <m/>
    <n v="0"/>
  </r>
  <r>
    <s v="USR-101216"/>
    <d v="2025-04-14T00:00:00"/>
    <x v="1"/>
    <x v="0"/>
    <x v="1"/>
    <x v="3"/>
    <s v="Basic"/>
    <n v="1"/>
    <n v="0"/>
    <n v="0"/>
    <x v="0"/>
    <n v="0"/>
    <n v="0"/>
    <n v="0"/>
    <m/>
    <n v="78.400000000000006"/>
    <m/>
    <n v="0"/>
  </r>
  <r>
    <s v="USR-101217"/>
    <d v="2025-01-28T00:00:00"/>
    <x v="1"/>
    <x v="2"/>
    <x v="2"/>
    <x v="3"/>
    <s v="Basic"/>
    <n v="0"/>
    <n v="0"/>
    <n v="0"/>
    <x v="0"/>
    <n v="0"/>
    <n v="0"/>
    <n v="0"/>
    <m/>
    <n v="49.3"/>
    <m/>
    <n v="0"/>
  </r>
  <r>
    <s v="USR-101218"/>
    <d v="2025-05-21T00:00:00"/>
    <x v="1"/>
    <x v="0"/>
    <x v="1"/>
    <x v="1"/>
    <s v="Basic"/>
    <n v="0"/>
    <n v="0"/>
    <n v="0"/>
    <x v="0"/>
    <n v="0"/>
    <n v="0"/>
    <n v="0"/>
    <m/>
    <n v="52.8"/>
    <m/>
    <n v="0"/>
  </r>
  <r>
    <s v="USR-101219"/>
    <d v="2025-05-11T00:00:00"/>
    <x v="1"/>
    <x v="1"/>
    <x v="0"/>
    <x v="1"/>
    <s v="Free"/>
    <n v="0"/>
    <n v="0"/>
    <n v="0"/>
    <x v="0"/>
    <n v="0"/>
    <n v="0"/>
    <n v="0"/>
    <m/>
    <n v="58.5"/>
    <m/>
    <n v="0"/>
  </r>
  <r>
    <s v="USR-101220"/>
    <d v="2025-02-02T00:00:00"/>
    <x v="1"/>
    <x v="3"/>
    <x v="1"/>
    <x v="2"/>
    <s v="Free"/>
    <n v="1"/>
    <n v="0"/>
    <n v="0"/>
    <x v="0"/>
    <n v="0"/>
    <n v="0"/>
    <n v="0"/>
    <m/>
    <n v="55.9"/>
    <m/>
    <n v="0"/>
  </r>
  <r>
    <s v="USR-101221"/>
    <d v="2025-02-26T00:00:00"/>
    <x v="1"/>
    <x v="0"/>
    <x v="1"/>
    <x v="4"/>
    <s v="Free"/>
    <n v="1"/>
    <n v="1"/>
    <n v="1"/>
    <x v="1"/>
    <n v="351.43"/>
    <n v="1"/>
    <n v="0"/>
    <n v="6"/>
    <n v="74.900000000000006"/>
    <m/>
    <n v="1"/>
  </r>
  <r>
    <s v="USR-101222"/>
    <d v="2025-02-27T00:00:00"/>
    <x v="1"/>
    <x v="3"/>
    <x v="0"/>
    <x v="3"/>
    <s v="Free"/>
    <n v="1"/>
    <n v="1"/>
    <n v="1"/>
    <x v="1"/>
    <n v="352.42"/>
    <n v="0"/>
    <n v="0"/>
    <n v="4"/>
    <n v="58.5"/>
    <m/>
    <n v="0"/>
  </r>
  <r>
    <s v="USR-101223"/>
    <d v="2025-03-09T00:00:00"/>
    <x v="1"/>
    <x v="1"/>
    <x v="1"/>
    <x v="1"/>
    <s v="Free"/>
    <n v="0"/>
    <n v="0"/>
    <n v="0"/>
    <x v="0"/>
    <n v="0"/>
    <n v="0"/>
    <n v="0"/>
    <m/>
    <n v="63.5"/>
    <m/>
    <n v="0"/>
  </r>
  <r>
    <s v="USR-101224"/>
    <d v="2025-02-07T00:00:00"/>
    <x v="1"/>
    <x v="0"/>
    <x v="1"/>
    <x v="2"/>
    <s v="Basic"/>
    <n v="1"/>
    <n v="0"/>
    <n v="0"/>
    <x v="0"/>
    <n v="0"/>
    <n v="1"/>
    <n v="0"/>
    <m/>
    <n v="64.8"/>
    <m/>
    <n v="1"/>
  </r>
  <r>
    <s v="USR-101225"/>
    <d v="2025-01-31T00:00:00"/>
    <x v="1"/>
    <x v="1"/>
    <x v="1"/>
    <x v="4"/>
    <s v="Free"/>
    <n v="0"/>
    <n v="0"/>
    <n v="0"/>
    <x v="0"/>
    <n v="0"/>
    <n v="0"/>
    <n v="0"/>
    <m/>
    <n v="63.3"/>
    <m/>
    <n v="0"/>
  </r>
  <r>
    <s v="USR-101226"/>
    <d v="2025-02-14T00:00:00"/>
    <x v="1"/>
    <x v="0"/>
    <x v="2"/>
    <x v="2"/>
    <s v="Basic"/>
    <n v="1"/>
    <n v="1"/>
    <n v="1"/>
    <x v="1"/>
    <n v="1074.1600000000001"/>
    <n v="0"/>
    <n v="0"/>
    <n v="8"/>
    <n v="83.7"/>
    <m/>
    <n v="0"/>
  </r>
  <r>
    <s v="USR-101227"/>
    <d v="2025-02-12T00:00:00"/>
    <x v="1"/>
    <x v="3"/>
    <x v="0"/>
    <x v="4"/>
    <s v="Basic"/>
    <n v="0"/>
    <n v="0"/>
    <n v="0"/>
    <x v="0"/>
    <n v="0"/>
    <n v="0"/>
    <n v="0"/>
    <m/>
    <n v="88.7"/>
    <m/>
    <n v="0"/>
  </r>
  <r>
    <s v="USR-101228"/>
    <d v="2025-03-23T00:00:00"/>
    <x v="1"/>
    <x v="2"/>
    <x v="3"/>
    <x v="2"/>
    <s v="Free"/>
    <n v="1"/>
    <n v="0"/>
    <n v="0"/>
    <x v="0"/>
    <n v="0"/>
    <n v="1"/>
    <n v="0"/>
    <m/>
    <n v="61.5"/>
    <m/>
    <n v="1"/>
  </r>
  <r>
    <s v="USR-101229"/>
    <d v="2025-03-18T00:00:00"/>
    <x v="1"/>
    <x v="1"/>
    <x v="1"/>
    <x v="2"/>
    <s v="Free"/>
    <n v="0"/>
    <n v="0"/>
    <n v="0"/>
    <x v="0"/>
    <n v="0"/>
    <n v="0"/>
    <n v="0"/>
    <m/>
    <n v="45.3"/>
    <m/>
    <n v="0"/>
  </r>
  <r>
    <s v="USR-101230"/>
    <d v="2025-05-17T00:00:00"/>
    <x v="1"/>
    <x v="0"/>
    <x v="1"/>
    <x v="4"/>
    <s v="Free"/>
    <n v="1"/>
    <n v="0"/>
    <n v="0"/>
    <x v="0"/>
    <n v="0"/>
    <n v="0"/>
    <n v="0"/>
    <m/>
    <n v="37.299999999999997"/>
    <m/>
    <n v="0"/>
  </r>
  <r>
    <s v="USR-101231"/>
    <d v="2025-03-26T00:00:00"/>
    <x v="1"/>
    <x v="1"/>
    <x v="0"/>
    <x v="4"/>
    <s v="Premium"/>
    <n v="1"/>
    <n v="0"/>
    <n v="0"/>
    <x v="0"/>
    <n v="0"/>
    <n v="1"/>
    <n v="0"/>
    <m/>
    <n v="76.099999999999994"/>
    <m/>
    <n v="1"/>
  </r>
  <r>
    <s v="USR-101232"/>
    <d v="2025-03-30T00:00:00"/>
    <x v="1"/>
    <x v="2"/>
    <x v="1"/>
    <x v="1"/>
    <s v="Free"/>
    <n v="1"/>
    <n v="1"/>
    <n v="1"/>
    <x v="0"/>
    <n v="0"/>
    <n v="1"/>
    <n v="0"/>
    <m/>
    <n v="72.5"/>
    <m/>
    <n v="1"/>
  </r>
  <r>
    <s v="USR-101233"/>
    <d v="2025-02-25T00:00:00"/>
    <x v="1"/>
    <x v="2"/>
    <x v="0"/>
    <x v="1"/>
    <s v="Free"/>
    <n v="1"/>
    <n v="0"/>
    <n v="0"/>
    <x v="0"/>
    <n v="0"/>
    <n v="0"/>
    <n v="0"/>
    <m/>
    <n v="62.3"/>
    <m/>
    <n v="0"/>
  </r>
  <r>
    <s v="USR-101234"/>
    <d v="2025-03-01T00:00:00"/>
    <x v="1"/>
    <x v="2"/>
    <x v="0"/>
    <x v="4"/>
    <s v="Free"/>
    <n v="0"/>
    <n v="0"/>
    <n v="0"/>
    <x v="0"/>
    <n v="0"/>
    <n v="0"/>
    <n v="0"/>
    <m/>
    <n v="62.7"/>
    <m/>
    <n v="0"/>
  </r>
  <r>
    <s v="USR-101235"/>
    <d v="2025-05-27T00:00:00"/>
    <x v="1"/>
    <x v="0"/>
    <x v="1"/>
    <x v="2"/>
    <s v="Basic"/>
    <n v="0"/>
    <n v="0"/>
    <n v="0"/>
    <x v="0"/>
    <n v="0"/>
    <n v="0"/>
    <n v="0"/>
    <m/>
    <n v="82.4"/>
    <m/>
    <n v="0"/>
  </r>
  <r>
    <s v="USR-101236"/>
    <d v="2025-02-05T00:00:00"/>
    <x v="1"/>
    <x v="1"/>
    <x v="1"/>
    <x v="5"/>
    <s v="Premium"/>
    <n v="1"/>
    <n v="0"/>
    <n v="0"/>
    <x v="0"/>
    <n v="0"/>
    <n v="0"/>
    <n v="0"/>
    <m/>
    <n v="78.900000000000006"/>
    <m/>
    <n v="0"/>
  </r>
  <r>
    <s v="USR-101237"/>
    <d v="2025-01-25T00:00:00"/>
    <x v="1"/>
    <x v="1"/>
    <x v="0"/>
    <x v="0"/>
    <s v="Free"/>
    <n v="1"/>
    <n v="1"/>
    <n v="1"/>
    <x v="1"/>
    <n v="618.91"/>
    <n v="0"/>
    <n v="0"/>
    <n v="4"/>
    <n v="67.8"/>
    <m/>
    <n v="0"/>
  </r>
  <r>
    <s v="USR-101238"/>
    <d v="2025-04-10T00:00:00"/>
    <x v="1"/>
    <x v="2"/>
    <x v="1"/>
    <x v="1"/>
    <s v="Premium"/>
    <n v="1"/>
    <n v="0"/>
    <n v="0"/>
    <x v="0"/>
    <n v="0"/>
    <n v="0"/>
    <n v="0"/>
    <m/>
    <n v="68.8"/>
    <m/>
    <n v="0"/>
  </r>
  <r>
    <s v="USR-101239"/>
    <d v="2025-01-10T00:00:00"/>
    <x v="1"/>
    <x v="2"/>
    <x v="1"/>
    <x v="1"/>
    <s v="Premium"/>
    <n v="1"/>
    <n v="0"/>
    <n v="0"/>
    <x v="0"/>
    <n v="0"/>
    <n v="0"/>
    <n v="0"/>
    <m/>
    <n v="67.7"/>
    <m/>
    <n v="0"/>
  </r>
  <r>
    <s v="USR-101240"/>
    <d v="2025-02-23T00:00:00"/>
    <x v="1"/>
    <x v="2"/>
    <x v="1"/>
    <x v="5"/>
    <s v="Free"/>
    <n v="0"/>
    <n v="0"/>
    <n v="0"/>
    <x v="0"/>
    <n v="0"/>
    <n v="0"/>
    <n v="0"/>
    <m/>
    <n v="88"/>
    <m/>
    <n v="0"/>
  </r>
  <r>
    <s v="USR-101241"/>
    <d v="2025-05-23T00:00:00"/>
    <x v="1"/>
    <x v="1"/>
    <x v="0"/>
    <x v="1"/>
    <s v="Basic"/>
    <n v="1"/>
    <n v="1"/>
    <n v="0"/>
    <x v="0"/>
    <n v="0"/>
    <n v="0"/>
    <n v="0"/>
    <m/>
    <n v="80.099999999999994"/>
    <m/>
    <n v="0"/>
  </r>
  <r>
    <s v="USR-101242"/>
    <d v="2025-03-08T00:00:00"/>
    <x v="1"/>
    <x v="0"/>
    <x v="2"/>
    <x v="0"/>
    <s v="Basic"/>
    <n v="0"/>
    <n v="0"/>
    <n v="0"/>
    <x v="0"/>
    <n v="0"/>
    <n v="1"/>
    <n v="0"/>
    <m/>
    <n v="48.2"/>
    <m/>
    <n v="1"/>
  </r>
  <r>
    <s v="USR-101243"/>
    <d v="2025-05-21T00:00:00"/>
    <x v="1"/>
    <x v="2"/>
    <x v="1"/>
    <x v="1"/>
    <s v="Basic"/>
    <n v="1"/>
    <n v="0"/>
    <n v="0"/>
    <x v="0"/>
    <n v="0"/>
    <n v="0"/>
    <n v="0"/>
    <m/>
    <n v="52.7"/>
    <m/>
    <n v="0"/>
  </r>
  <r>
    <s v="USR-101244"/>
    <d v="2025-04-22T00:00:00"/>
    <x v="1"/>
    <x v="0"/>
    <x v="1"/>
    <x v="0"/>
    <s v="Basic"/>
    <n v="1"/>
    <n v="1"/>
    <n v="0"/>
    <x v="0"/>
    <n v="0"/>
    <n v="0"/>
    <n v="0"/>
    <m/>
    <n v="59.9"/>
    <m/>
    <n v="0"/>
  </r>
  <r>
    <s v="USR-101245"/>
    <d v="2025-04-16T00:00:00"/>
    <x v="1"/>
    <x v="0"/>
    <x v="1"/>
    <x v="0"/>
    <s v="Premium"/>
    <n v="1"/>
    <n v="0"/>
    <n v="0"/>
    <x v="0"/>
    <n v="0"/>
    <n v="0"/>
    <n v="0"/>
    <m/>
    <n v="49.5"/>
    <m/>
    <n v="0"/>
  </r>
  <r>
    <s v="USR-101246"/>
    <d v="2025-05-08T00:00:00"/>
    <x v="1"/>
    <x v="0"/>
    <x v="2"/>
    <x v="1"/>
    <s v="Free"/>
    <n v="1"/>
    <n v="0"/>
    <n v="0"/>
    <x v="0"/>
    <n v="0"/>
    <n v="0"/>
    <n v="0"/>
    <m/>
    <n v="41.5"/>
    <m/>
    <n v="0"/>
  </r>
  <r>
    <s v="USR-101247"/>
    <d v="2025-05-22T00:00:00"/>
    <x v="1"/>
    <x v="0"/>
    <x v="1"/>
    <x v="2"/>
    <s v="Basic"/>
    <n v="1"/>
    <n v="0"/>
    <n v="0"/>
    <x v="0"/>
    <n v="0"/>
    <n v="0"/>
    <n v="0"/>
    <m/>
    <n v="71.2"/>
    <m/>
    <n v="0"/>
  </r>
  <r>
    <s v="USR-101248"/>
    <d v="2025-03-21T00:00:00"/>
    <x v="1"/>
    <x v="0"/>
    <x v="1"/>
    <x v="3"/>
    <s v="Basic"/>
    <n v="1"/>
    <n v="1"/>
    <n v="1"/>
    <x v="0"/>
    <n v="0"/>
    <n v="0"/>
    <n v="0"/>
    <m/>
    <n v="65.8"/>
    <m/>
    <n v="0"/>
  </r>
  <r>
    <s v="USR-101249"/>
    <d v="2025-03-22T00:00:00"/>
    <x v="1"/>
    <x v="2"/>
    <x v="1"/>
    <x v="1"/>
    <s v="Basic"/>
    <n v="1"/>
    <n v="0"/>
    <n v="0"/>
    <x v="0"/>
    <n v="0"/>
    <n v="1"/>
    <n v="0"/>
    <m/>
    <n v="55.1"/>
    <m/>
    <n v="1"/>
  </r>
  <r>
    <s v="USR-101250"/>
    <d v="2025-01-10T00:00:00"/>
    <x v="1"/>
    <x v="1"/>
    <x v="0"/>
    <x v="4"/>
    <s v="Free"/>
    <n v="1"/>
    <n v="0"/>
    <n v="0"/>
    <x v="0"/>
    <n v="0"/>
    <n v="0"/>
    <n v="0"/>
    <m/>
    <n v="54.6"/>
    <m/>
    <n v="0"/>
  </r>
  <r>
    <s v="USR-101251"/>
    <d v="2025-02-01T00:00:00"/>
    <x v="1"/>
    <x v="2"/>
    <x v="1"/>
    <x v="1"/>
    <s v="Basic"/>
    <n v="1"/>
    <n v="1"/>
    <n v="1"/>
    <x v="1"/>
    <n v="923.67"/>
    <n v="0"/>
    <n v="0"/>
    <n v="4"/>
    <n v="81.900000000000006"/>
    <m/>
    <n v="0"/>
  </r>
  <r>
    <s v="USR-101252"/>
    <d v="2025-03-31T00:00:00"/>
    <x v="1"/>
    <x v="3"/>
    <x v="1"/>
    <x v="2"/>
    <s v="Basic"/>
    <n v="1"/>
    <n v="1"/>
    <n v="0"/>
    <x v="0"/>
    <n v="0"/>
    <n v="3"/>
    <n v="0"/>
    <m/>
    <n v="63.2"/>
    <m/>
    <n v="1"/>
  </r>
  <r>
    <s v="USR-101253"/>
    <d v="2025-04-25T00:00:00"/>
    <x v="1"/>
    <x v="0"/>
    <x v="1"/>
    <x v="2"/>
    <s v="Free"/>
    <n v="1"/>
    <n v="0"/>
    <n v="0"/>
    <x v="0"/>
    <n v="0"/>
    <n v="0"/>
    <n v="0"/>
    <m/>
    <n v="55.4"/>
    <m/>
    <n v="0"/>
  </r>
  <r>
    <s v="USR-101254"/>
    <d v="2025-05-02T00:00:00"/>
    <x v="1"/>
    <x v="1"/>
    <x v="1"/>
    <x v="4"/>
    <s v="Basic"/>
    <n v="0"/>
    <n v="0"/>
    <n v="0"/>
    <x v="0"/>
    <n v="0"/>
    <n v="0"/>
    <n v="0"/>
    <m/>
    <n v="87.5"/>
    <m/>
    <n v="0"/>
  </r>
  <r>
    <s v="USR-101255"/>
    <d v="2025-03-08T00:00:00"/>
    <x v="1"/>
    <x v="3"/>
    <x v="0"/>
    <x v="4"/>
    <s v="Basic"/>
    <n v="1"/>
    <n v="0"/>
    <n v="0"/>
    <x v="0"/>
    <n v="0"/>
    <n v="0"/>
    <n v="0"/>
    <m/>
    <n v="48.5"/>
    <m/>
    <n v="0"/>
  </r>
  <r>
    <s v="USR-101256"/>
    <d v="2025-01-27T00:00:00"/>
    <x v="1"/>
    <x v="2"/>
    <x v="0"/>
    <x v="5"/>
    <s v="Free"/>
    <n v="1"/>
    <n v="1"/>
    <n v="1"/>
    <x v="1"/>
    <n v="420.27"/>
    <n v="0"/>
    <n v="0"/>
    <n v="6"/>
    <n v="58.4"/>
    <m/>
    <n v="0"/>
  </r>
  <r>
    <s v="USR-101257"/>
    <d v="2025-04-27T00:00:00"/>
    <x v="1"/>
    <x v="1"/>
    <x v="1"/>
    <x v="2"/>
    <s v="Free"/>
    <n v="0"/>
    <n v="0"/>
    <n v="0"/>
    <x v="0"/>
    <n v="0"/>
    <n v="0"/>
    <n v="0"/>
    <m/>
    <n v="59.5"/>
    <m/>
    <n v="0"/>
  </r>
  <r>
    <s v="USR-101258"/>
    <d v="2025-01-16T00:00:00"/>
    <x v="1"/>
    <x v="1"/>
    <x v="0"/>
    <x v="2"/>
    <s v="Basic"/>
    <n v="1"/>
    <n v="0"/>
    <n v="0"/>
    <x v="0"/>
    <n v="0"/>
    <n v="0"/>
    <n v="0"/>
    <m/>
    <n v="93.2"/>
    <m/>
    <n v="0"/>
  </r>
  <r>
    <s v="USR-101259"/>
    <d v="2025-01-18T00:00:00"/>
    <x v="1"/>
    <x v="1"/>
    <x v="0"/>
    <x v="2"/>
    <s v="Basic"/>
    <n v="1"/>
    <n v="0"/>
    <n v="0"/>
    <x v="0"/>
    <n v="0"/>
    <n v="0"/>
    <n v="0"/>
    <m/>
    <n v="59"/>
    <m/>
    <n v="0"/>
  </r>
  <r>
    <s v="USR-101260"/>
    <d v="2025-03-21T00:00:00"/>
    <x v="1"/>
    <x v="0"/>
    <x v="1"/>
    <x v="1"/>
    <s v="Free"/>
    <n v="1"/>
    <n v="0"/>
    <n v="0"/>
    <x v="0"/>
    <n v="0"/>
    <n v="0"/>
    <n v="0"/>
    <m/>
    <n v="37"/>
    <m/>
    <n v="0"/>
  </r>
  <r>
    <s v="USR-101261"/>
    <d v="2025-04-02T00:00:00"/>
    <x v="1"/>
    <x v="0"/>
    <x v="0"/>
    <x v="2"/>
    <s v="Free"/>
    <n v="1"/>
    <n v="0"/>
    <n v="0"/>
    <x v="0"/>
    <n v="0"/>
    <n v="0"/>
    <n v="0"/>
    <m/>
    <n v="47.5"/>
    <m/>
    <n v="0"/>
  </r>
  <r>
    <s v="USR-101262"/>
    <d v="2025-02-16T00:00:00"/>
    <x v="1"/>
    <x v="1"/>
    <x v="0"/>
    <x v="1"/>
    <s v="Free"/>
    <n v="1"/>
    <n v="1"/>
    <n v="1"/>
    <x v="0"/>
    <n v="0"/>
    <n v="0"/>
    <n v="0"/>
    <m/>
    <n v="78.7"/>
    <m/>
    <n v="0"/>
  </r>
  <r>
    <s v="USR-101263"/>
    <d v="2025-02-18T00:00:00"/>
    <x v="1"/>
    <x v="0"/>
    <x v="1"/>
    <x v="4"/>
    <s v="Free"/>
    <n v="1"/>
    <n v="0"/>
    <n v="0"/>
    <x v="0"/>
    <n v="0"/>
    <n v="0"/>
    <n v="0"/>
    <m/>
    <n v="49.6"/>
    <m/>
    <n v="0"/>
  </r>
  <r>
    <s v="USR-101264"/>
    <d v="2025-01-09T00:00:00"/>
    <x v="1"/>
    <x v="2"/>
    <x v="1"/>
    <x v="1"/>
    <s v="Free"/>
    <n v="1"/>
    <n v="0"/>
    <n v="0"/>
    <x v="0"/>
    <n v="0"/>
    <n v="0"/>
    <n v="0"/>
    <m/>
    <n v="58"/>
    <m/>
    <n v="0"/>
  </r>
  <r>
    <s v="USR-101265"/>
    <d v="2025-02-18T00:00:00"/>
    <x v="1"/>
    <x v="0"/>
    <x v="0"/>
    <x v="2"/>
    <s v="Free"/>
    <n v="1"/>
    <n v="0"/>
    <n v="0"/>
    <x v="0"/>
    <n v="0"/>
    <n v="1"/>
    <n v="0"/>
    <m/>
    <n v="54.4"/>
    <m/>
    <n v="1"/>
  </r>
  <r>
    <s v="USR-101266"/>
    <d v="2025-01-10T00:00:00"/>
    <x v="1"/>
    <x v="2"/>
    <x v="1"/>
    <x v="3"/>
    <s v="Free"/>
    <n v="0"/>
    <n v="0"/>
    <n v="0"/>
    <x v="0"/>
    <n v="0"/>
    <n v="0"/>
    <n v="0"/>
    <m/>
    <n v="33.700000000000003"/>
    <m/>
    <n v="0"/>
  </r>
  <r>
    <s v="USR-101267"/>
    <d v="2025-03-08T00:00:00"/>
    <x v="1"/>
    <x v="1"/>
    <x v="1"/>
    <x v="0"/>
    <s v="Free"/>
    <n v="1"/>
    <n v="0"/>
    <n v="0"/>
    <x v="0"/>
    <n v="0"/>
    <n v="0"/>
    <n v="0"/>
    <m/>
    <n v="72.7"/>
    <m/>
    <n v="0"/>
  </r>
  <r>
    <s v="USR-101268"/>
    <d v="2025-04-16T00:00:00"/>
    <x v="1"/>
    <x v="2"/>
    <x v="0"/>
    <x v="2"/>
    <s v="Basic"/>
    <n v="0"/>
    <n v="0"/>
    <n v="0"/>
    <x v="0"/>
    <n v="0"/>
    <n v="0"/>
    <n v="0"/>
    <m/>
    <n v="64.7"/>
    <m/>
    <n v="0"/>
  </r>
  <r>
    <s v="USR-101269"/>
    <d v="2025-02-19T00:00:00"/>
    <x v="1"/>
    <x v="1"/>
    <x v="0"/>
    <x v="2"/>
    <s v="Premium"/>
    <n v="0"/>
    <n v="0"/>
    <n v="0"/>
    <x v="0"/>
    <n v="0"/>
    <n v="1"/>
    <n v="0"/>
    <m/>
    <n v="48.6"/>
    <m/>
    <n v="1"/>
  </r>
  <r>
    <s v="USR-101270"/>
    <d v="2025-03-16T00:00:00"/>
    <x v="1"/>
    <x v="2"/>
    <x v="0"/>
    <x v="4"/>
    <s v="Free"/>
    <n v="1"/>
    <n v="1"/>
    <n v="0"/>
    <x v="0"/>
    <n v="0"/>
    <n v="0"/>
    <n v="0"/>
    <m/>
    <n v="66.2"/>
    <m/>
    <n v="0"/>
  </r>
  <r>
    <s v="USR-101271"/>
    <d v="2025-02-03T00:00:00"/>
    <x v="1"/>
    <x v="1"/>
    <x v="3"/>
    <x v="3"/>
    <s v="Basic"/>
    <n v="1"/>
    <n v="0"/>
    <n v="0"/>
    <x v="0"/>
    <n v="0"/>
    <n v="1"/>
    <n v="0"/>
    <m/>
    <n v="60.7"/>
    <m/>
    <n v="1"/>
  </r>
  <r>
    <s v="USR-101272"/>
    <d v="2025-03-12T00:00:00"/>
    <x v="1"/>
    <x v="1"/>
    <x v="1"/>
    <x v="2"/>
    <s v="Basic"/>
    <n v="1"/>
    <n v="0"/>
    <n v="0"/>
    <x v="0"/>
    <n v="0"/>
    <n v="0"/>
    <n v="0"/>
    <m/>
    <n v="36.5"/>
    <m/>
    <n v="0"/>
  </r>
  <r>
    <s v="USR-101273"/>
    <d v="2025-05-09T00:00:00"/>
    <x v="1"/>
    <x v="1"/>
    <x v="1"/>
    <x v="4"/>
    <s v="Free"/>
    <n v="1"/>
    <n v="1"/>
    <n v="1"/>
    <x v="0"/>
    <n v="0"/>
    <n v="3"/>
    <n v="0"/>
    <m/>
    <n v="69.7"/>
    <m/>
    <n v="1"/>
  </r>
  <r>
    <s v="USR-101274"/>
    <d v="2025-01-19T00:00:00"/>
    <x v="1"/>
    <x v="3"/>
    <x v="0"/>
    <x v="4"/>
    <s v="Premium"/>
    <n v="1"/>
    <n v="0"/>
    <n v="0"/>
    <x v="0"/>
    <n v="0"/>
    <n v="0"/>
    <n v="0"/>
    <m/>
    <n v="81.8"/>
    <m/>
    <n v="0"/>
  </r>
  <r>
    <s v="USR-101275"/>
    <d v="2025-01-24T00:00:00"/>
    <x v="1"/>
    <x v="1"/>
    <x v="1"/>
    <x v="3"/>
    <s v="Free"/>
    <n v="1"/>
    <n v="1"/>
    <n v="1"/>
    <x v="0"/>
    <n v="0"/>
    <n v="1"/>
    <n v="0"/>
    <m/>
    <n v="78.3"/>
    <m/>
    <n v="1"/>
  </r>
  <r>
    <s v="USR-101276"/>
    <d v="2025-03-03T00:00:00"/>
    <x v="1"/>
    <x v="2"/>
    <x v="1"/>
    <x v="3"/>
    <s v="Free"/>
    <n v="1"/>
    <n v="1"/>
    <n v="0"/>
    <x v="0"/>
    <n v="0"/>
    <n v="0"/>
    <n v="0"/>
    <m/>
    <n v="79.400000000000006"/>
    <m/>
    <n v="0"/>
  </r>
  <r>
    <s v="USR-101277"/>
    <d v="2025-05-27T00:00:00"/>
    <x v="1"/>
    <x v="0"/>
    <x v="0"/>
    <x v="3"/>
    <s v="Free"/>
    <n v="1"/>
    <n v="1"/>
    <n v="1"/>
    <x v="0"/>
    <n v="0"/>
    <n v="0"/>
    <n v="0"/>
    <m/>
    <n v="54.9"/>
    <m/>
    <n v="0"/>
  </r>
  <r>
    <s v="USR-101278"/>
    <d v="2025-04-23T00:00:00"/>
    <x v="1"/>
    <x v="1"/>
    <x v="0"/>
    <x v="1"/>
    <s v="Basic"/>
    <n v="1"/>
    <n v="0"/>
    <n v="0"/>
    <x v="0"/>
    <n v="0"/>
    <n v="0"/>
    <n v="0"/>
    <m/>
    <n v="54.9"/>
    <m/>
    <n v="0"/>
  </r>
  <r>
    <s v="USR-101279"/>
    <d v="2025-02-10T00:00:00"/>
    <x v="1"/>
    <x v="2"/>
    <x v="0"/>
    <x v="4"/>
    <s v="Free"/>
    <n v="0"/>
    <n v="0"/>
    <n v="0"/>
    <x v="0"/>
    <n v="0"/>
    <n v="0"/>
    <n v="0"/>
    <m/>
    <n v="28.7"/>
    <m/>
    <n v="0"/>
  </r>
  <r>
    <s v="USR-101280"/>
    <d v="2025-02-11T00:00:00"/>
    <x v="1"/>
    <x v="0"/>
    <x v="1"/>
    <x v="1"/>
    <s v="Free"/>
    <n v="0"/>
    <n v="0"/>
    <n v="0"/>
    <x v="0"/>
    <n v="0"/>
    <n v="0"/>
    <n v="0"/>
    <m/>
    <n v="68.8"/>
    <m/>
    <n v="0"/>
  </r>
  <r>
    <s v="USR-101281"/>
    <d v="2025-01-21T00:00:00"/>
    <x v="1"/>
    <x v="2"/>
    <x v="0"/>
    <x v="2"/>
    <s v="Free"/>
    <n v="1"/>
    <n v="1"/>
    <n v="1"/>
    <x v="0"/>
    <n v="0"/>
    <n v="0"/>
    <n v="0"/>
    <m/>
    <n v="43.5"/>
    <m/>
    <n v="0"/>
  </r>
  <r>
    <s v="USR-101282"/>
    <d v="2025-02-02T00:00:00"/>
    <x v="1"/>
    <x v="1"/>
    <x v="0"/>
    <x v="4"/>
    <s v="Free"/>
    <n v="1"/>
    <n v="1"/>
    <n v="0"/>
    <x v="0"/>
    <n v="0"/>
    <n v="0"/>
    <n v="0"/>
    <m/>
    <n v="62.6"/>
    <m/>
    <n v="0"/>
  </r>
  <r>
    <s v="USR-101283"/>
    <d v="2025-02-02T00:00:00"/>
    <x v="1"/>
    <x v="1"/>
    <x v="1"/>
    <x v="1"/>
    <s v="Free"/>
    <n v="0"/>
    <n v="0"/>
    <n v="0"/>
    <x v="0"/>
    <n v="0"/>
    <n v="1"/>
    <n v="0"/>
    <m/>
    <n v="54.1"/>
    <m/>
    <n v="1"/>
  </r>
  <r>
    <s v="USR-101284"/>
    <d v="2025-02-26T00:00:00"/>
    <x v="1"/>
    <x v="1"/>
    <x v="2"/>
    <x v="4"/>
    <s v="Free"/>
    <n v="1"/>
    <n v="1"/>
    <n v="1"/>
    <x v="0"/>
    <n v="0"/>
    <n v="0"/>
    <n v="0"/>
    <m/>
    <n v="80.099999999999994"/>
    <m/>
    <n v="0"/>
  </r>
  <r>
    <s v="USR-101285"/>
    <d v="2025-04-22T00:00:00"/>
    <x v="1"/>
    <x v="0"/>
    <x v="1"/>
    <x v="4"/>
    <s v="Premium"/>
    <n v="1"/>
    <n v="0"/>
    <n v="0"/>
    <x v="0"/>
    <n v="0"/>
    <n v="0"/>
    <n v="0"/>
    <m/>
    <n v="69.5"/>
    <m/>
    <n v="0"/>
  </r>
  <r>
    <s v="USR-101286"/>
    <d v="2025-03-11T00:00:00"/>
    <x v="1"/>
    <x v="0"/>
    <x v="0"/>
    <x v="1"/>
    <s v="Basic"/>
    <n v="0"/>
    <n v="0"/>
    <n v="0"/>
    <x v="0"/>
    <n v="0"/>
    <n v="2"/>
    <n v="0"/>
    <m/>
    <n v="46.6"/>
    <m/>
    <n v="1"/>
  </r>
  <r>
    <s v="USR-101287"/>
    <d v="2025-05-08T00:00:00"/>
    <x v="1"/>
    <x v="3"/>
    <x v="1"/>
    <x v="1"/>
    <s v="Premium"/>
    <n v="1"/>
    <n v="0"/>
    <n v="0"/>
    <x v="0"/>
    <n v="0"/>
    <n v="1"/>
    <n v="0"/>
    <m/>
    <n v="54.9"/>
    <m/>
    <n v="1"/>
  </r>
  <r>
    <s v="USR-101288"/>
    <d v="2025-03-10T00:00:00"/>
    <x v="1"/>
    <x v="2"/>
    <x v="0"/>
    <x v="1"/>
    <s v="Free"/>
    <n v="0"/>
    <n v="0"/>
    <n v="0"/>
    <x v="0"/>
    <n v="0"/>
    <n v="0"/>
    <n v="0"/>
    <m/>
    <n v="100"/>
    <m/>
    <n v="0"/>
  </r>
  <r>
    <s v="USR-101289"/>
    <d v="2025-04-16T00:00:00"/>
    <x v="1"/>
    <x v="2"/>
    <x v="0"/>
    <x v="2"/>
    <s v="Free"/>
    <n v="1"/>
    <n v="1"/>
    <n v="1"/>
    <x v="0"/>
    <n v="0"/>
    <n v="1"/>
    <n v="0"/>
    <m/>
    <n v="80.5"/>
    <m/>
    <n v="1"/>
  </r>
  <r>
    <s v="USR-101290"/>
    <d v="2025-03-01T00:00:00"/>
    <x v="1"/>
    <x v="1"/>
    <x v="2"/>
    <x v="1"/>
    <s v="Basic"/>
    <n v="1"/>
    <n v="0"/>
    <n v="0"/>
    <x v="0"/>
    <n v="0"/>
    <n v="0"/>
    <n v="0"/>
    <m/>
    <n v="51.2"/>
    <m/>
    <n v="0"/>
  </r>
  <r>
    <s v="USR-101291"/>
    <d v="2025-01-18T00:00:00"/>
    <x v="1"/>
    <x v="3"/>
    <x v="0"/>
    <x v="1"/>
    <s v="Premium"/>
    <n v="1"/>
    <n v="0"/>
    <n v="0"/>
    <x v="0"/>
    <n v="0"/>
    <n v="0"/>
    <n v="0"/>
    <m/>
    <n v="42.5"/>
    <m/>
    <n v="0"/>
  </r>
  <r>
    <s v="USR-101292"/>
    <d v="2025-03-30T00:00:00"/>
    <x v="1"/>
    <x v="0"/>
    <x v="1"/>
    <x v="2"/>
    <s v="Free"/>
    <n v="0"/>
    <n v="0"/>
    <n v="0"/>
    <x v="0"/>
    <n v="0"/>
    <n v="0"/>
    <n v="0"/>
    <m/>
    <n v="72.5"/>
    <m/>
    <n v="0"/>
  </r>
  <r>
    <s v="USR-101293"/>
    <d v="2025-05-26T00:00:00"/>
    <x v="1"/>
    <x v="1"/>
    <x v="1"/>
    <x v="4"/>
    <s v="Premium"/>
    <n v="0"/>
    <n v="0"/>
    <n v="0"/>
    <x v="0"/>
    <n v="0"/>
    <n v="0"/>
    <n v="0"/>
    <m/>
    <n v="74.400000000000006"/>
    <m/>
    <n v="0"/>
  </r>
  <r>
    <s v="USR-101294"/>
    <d v="2025-03-19T00:00:00"/>
    <x v="1"/>
    <x v="2"/>
    <x v="0"/>
    <x v="4"/>
    <s v="Free"/>
    <n v="0"/>
    <n v="0"/>
    <n v="0"/>
    <x v="0"/>
    <n v="0"/>
    <n v="0"/>
    <n v="0"/>
    <m/>
    <n v="78.400000000000006"/>
    <m/>
    <n v="0"/>
  </r>
  <r>
    <s v="USR-101295"/>
    <d v="2025-03-28T00:00:00"/>
    <x v="1"/>
    <x v="0"/>
    <x v="0"/>
    <x v="3"/>
    <s v="Free"/>
    <n v="1"/>
    <n v="0"/>
    <n v="0"/>
    <x v="0"/>
    <n v="0"/>
    <n v="0"/>
    <n v="0"/>
    <m/>
    <n v="71.5"/>
    <m/>
    <n v="0"/>
  </r>
  <r>
    <s v="USR-101296"/>
    <d v="2025-05-28T00:00:00"/>
    <x v="1"/>
    <x v="3"/>
    <x v="0"/>
    <x v="4"/>
    <s v="Free"/>
    <n v="1"/>
    <n v="0"/>
    <n v="0"/>
    <x v="0"/>
    <n v="0"/>
    <n v="0"/>
    <n v="0"/>
    <m/>
    <n v="66.7"/>
    <m/>
    <n v="0"/>
  </r>
  <r>
    <s v="USR-101297"/>
    <d v="2025-05-31T00:00:00"/>
    <x v="1"/>
    <x v="3"/>
    <x v="0"/>
    <x v="3"/>
    <s v="Premium"/>
    <n v="1"/>
    <n v="1"/>
    <n v="1"/>
    <x v="1"/>
    <n v="1496.09"/>
    <n v="0"/>
    <n v="0"/>
    <n v="7"/>
    <n v="60.4"/>
    <m/>
    <n v="0"/>
  </r>
  <r>
    <s v="USR-101298"/>
    <d v="2025-05-10T00:00:00"/>
    <x v="1"/>
    <x v="0"/>
    <x v="1"/>
    <x v="3"/>
    <s v="Free"/>
    <n v="0"/>
    <n v="0"/>
    <n v="0"/>
    <x v="0"/>
    <n v="0"/>
    <n v="1"/>
    <n v="0"/>
    <m/>
    <n v="72.900000000000006"/>
    <m/>
    <n v="1"/>
  </r>
  <r>
    <s v="USR-101299"/>
    <d v="2025-05-17T00:00:00"/>
    <x v="1"/>
    <x v="1"/>
    <x v="1"/>
    <x v="1"/>
    <s v="Free"/>
    <n v="0"/>
    <n v="0"/>
    <n v="0"/>
    <x v="0"/>
    <n v="0"/>
    <n v="3"/>
    <n v="0"/>
    <m/>
    <m/>
    <m/>
    <n v="1"/>
  </r>
  <r>
    <s v="USR-101300"/>
    <d v="2025-01-18T00:00:00"/>
    <x v="1"/>
    <x v="3"/>
    <x v="1"/>
    <x v="1"/>
    <s v="Premium"/>
    <n v="1"/>
    <n v="0"/>
    <n v="0"/>
    <x v="0"/>
    <n v="0"/>
    <n v="0"/>
    <n v="0"/>
    <m/>
    <n v="55.2"/>
    <m/>
    <n v="0"/>
  </r>
  <r>
    <s v="USR-101301"/>
    <d v="2025-05-04T00:00:00"/>
    <x v="1"/>
    <x v="1"/>
    <x v="1"/>
    <x v="4"/>
    <s v="Free"/>
    <n v="1"/>
    <n v="0"/>
    <n v="0"/>
    <x v="0"/>
    <n v="0"/>
    <n v="0"/>
    <n v="0"/>
    <m/>
    <n v="67.8"/>
    <m/>
    <n v="0"/>
  </r>
  <r>
    <s v="USR-101302"/>
    <d v="2025-03-25T00:00:00"/>
    <x v="1"/>
    <x v="0"/>
    <x v="1"/>
    <x v="1"/>
    <s v="Free"/>
    <n v="1"/>
    <n v="0"/>
    <n v="0"/>
    <x v="0"/>
    <n v="0"/>
    <n v="2"/>
    <n v="0"/>
    <m/>
    <n v="70"/>
    <m/>
    <n v="1"/>
  </r>
  <r>
    <s v="USR-101303"/>
    <d v="2025-02-27T00:00:00"/>
    <x v="1"/>
    <x v="0"/>
    <x v="1"/>
    <x v="4"/>
    <s v="Basic"/>
    <n v="1"/>
    <n v="1"/>
    <n v="1"/>
    <x v="0"/>
    <n v="0"/>
    <n v="0"/>
    <n v="0"/>
    <m/>
    <n v="51.1"/>
    <m/>
    <n v="0"/>
  </r>
  <r>
    <s v="USR-101304"/>
    <d v="2025-01-14T00:00:00"/>
    <x v="1"/>
    <x v="1"/>
    <x v="1"/>
    <x v="2"/>
    <s v="Basic"/>
    <n v="1"/>
    <n v="1"/>
    <n v="1"/>
    <x v="0"/>
    <n v="0"/>
    <n v="0"/>
    <n v="0"/>
    <m/>
    <n v="57"/>
    <m/>
    <n v="0"/>
  </r>
  <r>
    <s v="USR-101305"/>
    <d v="2025-04-11T00:00:00"/>
    <x v="1"/>
    <x v="2"/>
    <x v="1"/>
    <x v="4"/>
    <s v="Free"/>
    <n v="0"/>
    <n v="0"/>
    <n v="0"/>
    <x v="0"/>
    <n v="0"/>
    <n v="1"/>
    <n v="0"/>
    <m/>
    <n v="47.1"/>
    <m/>
    <n v="1"/>
  </r>
  <r>
    <s v="USR-101306"/>
    <d v="2025-03-26T00:00:00"/>
    <x v="1"/>
    <x v="2"/>
    <x v="0"/>
    <x v="4"/>
    <s v="Basic"/>
    <n v="0"/>
    <n v="0"/>
    <n v="0"/>
    <x v="0"/>
    <n v="0"/>
    <n v="0"/>
    <n v="0"/>
    <m/>
    <n v="30.7"/>
    <m/>
    <n v="0"/>
  </r>
  <r>
    <s v="USR-101307"/>
    <d v="2025-02-12T00:00:00"/>
    <x v="1"/>
    <x v="1"/>
    <x v="0"/>
    <x v="4"/>
    <s v="Free"/>
    <n v="1"/>
    <n v="0"/>
    <n v="0"/>
    <x v="0"/>
    <n v="0"/>
    <n v="0"/>
    <n v="0"/>
    <m/>
    <n v="57.3"/>
    <m/>
    <n v="0"/>
  </r>
  <r>
    <s v="USR-101308"/>
    <d v="2025-02-18T00:00:00"/>
    <x v="1"/>
    <x v="1"/>
    <x v="2"/>
    <x v="2"/>
    <s v="Basic"/>
    <n v="1"/>
    <n v="0"/>
    <n v="0"/>
    <x v="0"/>
    <n v="0"/>
    <n v="0"/>
    <n v="0"/>
    <m/>
    <n v="70"/>
    <m/>
    <n v="0"/>
  </r>
  <r>
    <s v="USR-101309"/>
    <d v="2025-05-25T00:00:00"/>
    <x v="1"/>
    <x v="2"/>
    <x v="0"/>
    <x v="4"/>
    <s v="Free"/>
    <n v="1"/>
    <n v="1"/>
    <n v="1"/>
    <x v="0"/>
    <n v="0"/>
    <n v="0"/>
    <n v="0"/>
    <m/>
    <n v="59.7"/>
    <m/>
    <n v="0"/>
  </r>
  <r>
    <s v="USR-101310"/>
    <d v="2025-05-23T00:00:00"/>
    <x v="1"/>
    <x v="2"/>
    <x v="0"/>
    <x v="2"/>
    <s v="Basic"/>
    <n v="1"/>
    <n v="0"/>
    <n v="0"/>
    <x v="0"/>
    <n v="0"/>
    <n v="0"/>
    <n v="0"/>
    <m/>
    <n v="68.8"/>
    <m/>
    <n v="0"/>
  </r>
  <r>
    <s v="USR-101311"/>
    <d v="2025-01-16T00:00:00"/>
    <x v="1"/>
    <x v="0"/>
    <x v="0"/>
    <x v="1"/>
    <s v="Free"/>
    <n v="1"/>
    <n v="1"/>
    <n v="1"/>
    <x v="1"/>
    <n v="428.37"/>
    <n v="0"/>
    <n v="0"/>
    <n v="9"/>
    <n v="88.3"/>
    <m/>
    <n v="0"/>
  </r>
  <r>
    <s v="USR-101312"/>
    <d v="2025-01-19T00:00:00"/>
    <x v="1"/>
    <x v="1"/>
    <x v="0"/>
    <x v="0"/>
    <s v="Basic"/>
    <n v="0"/>
    <n v="0"/>
    <n v="0"/>
    <x v="0"/>
    <n v="0"/>
    <n v="0"/>
    <n v="0"/>
    <m/>
    <n v="83.4"/>
    <m/>
    <n v="0"/>
  </r>
  <r>
    <s v="USR-101313"/>
    <d v="2025-05-18T00:00:00"/>
    <x v="1"/>
    <x v="3"/>
    <x v="1"/>
    <x v="3"/>
    <s v="Free"/>
    <n v="0"/>
    <n v="0"/>
    <n v="0"/>
    <x v="0"/>
    <n v="0"/>
    <n v="1"/>
    <n v="0"/>
    <m/>
    <n v="81.599999999999994"/>
    <m/>
    <n v="1"/>
  </r>
  <r>
    <s v="USR-101314"/>
    <d v="2025-01-23T00:00:00"/>
    <x v="1"/>
    <x v="2"/>
    <x v="2"/>
    <x v="4"/>
    <s v="Premium"/>
    <n v="1"/>
    <n v="0"/>
    <n v="0"/>
    <x v="0"/>
    <n v="0"/>
    <n v="0"/>
    <n v="0"/>
    <m/>
    <n v="91.6"/>
    <m/>
    <n v="0"/>
  </r>
  <r>
    <s v="USR-101315"/>
    <d v="2025-01-08T00:00:00"/>
    <x v="1"/>
    <x v="2"/>
    <x v="2"/>
    <x v="5"/>
    <s v="Premium"/>
    <n v="1"/>
    <n v="1"/>
    <n v="1"/>
    <x v="0"/>
    <n v="0"/>
    <n v="1"/>
    <n v="0"/>
    <m/>
    <n v="61.5"/>
    <m/>
    <n v="1"/>
  </r>
  <r>
    <s v="USR-101316"/>
    <d v="2025-02-19T00:00:00"/>
    <x v="1"/>
    <x v="0"/>
    <x v="1"/>
    <x v="1"/>
    <s v="Premium"/>
    <n v="0"/>
    <n v="0"/>
    <n v="0"/>
    <x v="0"/>
    <n v="0"/>
    <n v="0"/>
    <n v="0"/>
    <m/>
    <m/>
    <m/>
    <n v="0"/>
  </r>
  <r>
    <s v="USR-101317"/>
    <d v="2025-02-10T00:00:00"/>
    <x v="1"/>
    <x v="3"/>
    <x v="1"/>
    <x v="1"/>
    <s v="Free"/>
    <n v="1"/>
    <n v="0"/>
    <n v="0"/>
    <x v="0"/>
    <n v="0"/>
    <n v="0"/>
    <n v="0"/>
    <m/>
    <n v="32.6"/>
    <m/>
    <n v="0"/>
  </r>
  <r>
    <s v="USR-101318"/>
    <d v="2025-04-13T00:00:00"/>
    <x v="1"/>
    <x v="3"/>
    <x v="1"/>
    <x v="2"/>
    <s v="Free"/>
    <n v="1"/>
    <n v="0"/>
    <n v="0"/>
    <x v="0"/>
    <n v="0"/>
    <n v="0"/>
    <n v="0"/>
    <m/>
    <n v="73.900000000000006"/>
    <m/>
    <n v="0"/>
  </r>
  <r>
    <s v="USR-101319"/>
    <d v="2025-05-20T00:00:00"/>
    <x v="1"/>
    <x v="2"/>
    <x v="1"/>
    <x v="1"/>
    <s v="Free"/>
    <n v="1"/>
    <n v="1"/>
    <n v="1"/>
    <x v="1"/>
    <n v="444.06"/>
    <n v="0"/>
    <n v="0"/>
    <n v="9"/>
    <n v="99.9"/>
    <m/>
    <n v="0"/>
  </r>
  <r>
    <s v="USR-101320"/>
    <d v="2025-05-13T00:00:00"/>
    <x v="1"/>
    <x v="3"/>
    <x v="1"/>
    <x v="2"/>
    <s v="Basic"/>
    <n v="1"/>
    <n v="1"/>
    <n v="0"/>
    <x v="0"/>
    <n v="0"/>
    <n v="1"/>
    <n v="0"/>
    <m/>
    <n v="62.4"/>
    <m/>
    <n v="1"/>
  </r>
  <r>
    <s v="USR-101321"/>
    <d v="2025-05-28T00:00:00"/>
    <x v="1"/>
    <x v="3"/>
    <x v="0"/>
    <x v="2"/>
    <s v="Basic"/>
    <n v="1"/>
    <n v="0"/>
    <n v="0"/>
    <x v="0"/>
    <n v="0"/>
    <n v="0"/>
    <n v="0"/>
    <m/>
    <n v="46.1"/>
    <m/>
    <n v="0"/>
  </r>
  <r>
    <s v="USR-101322"/>
    <d v="2025-03-19T00:00:00"/>
    <x v="1"/>
    <x v="1"/>
    <x v="1"/>
    <x v="1"/>
    <s v="Free"/>
    <n v="1"/>
    <n v="1"/>
    <n v="1"/>
    <x v="1"/>
    <n v="2660.21"/>
    <n v="0"/>
    <n v="0"/>
    <n v="3"/>
    <n v="73.900000000000006"/>
    <m/>
    <n v="0"/>
  </r>
  <r>
    <s v="USR-101323"/>
    <d v="2025-02-03T00:00:00"/>
    <x v="1"/>
    <x v="0"/>
    <x v="1"/>
    <x v="0"/>
    <s v="Premium"/>
    <n v="0"/>
    <n v="0"/>
    <n v="0"/>
    <x v="0"/>
    <n v="0"/>
    <n v="0"/>
    <n v="0"/>
    <m/>
    <n v="90"/>
    <m/>
    <n v="0"/>
  </r>
  <r>
    <s v="USR-101324"/>
    <d v="2025-02-26T00:00:00"/>
    <x v="1"/>
    <x v="3"/>
    <x v="1"/>
    <x v="0"/>
    <s v="Basic"/>
    <n v="1"/>
    <n v="0"/>
    <n v="0"/>
    <x v="0"/>
    <n v="0"/>
    <n v="1"/>
    <n v="0"/>
    <m/>
    <n v="68.8"/>
    <m/>
    <n v="1"/>
  </r>
  <r>
    <s v="USR-101325"/>
    <d v="2025-01-26T00:00:00"/>
    <x v="1"/>
    <x v="1"/>
    <x v="1"/>
    <x v="2"/>
    <s v="Free"/>
    <n v="1"/>
    <n v="0"/>
    <n v="0"/>
    <x v="0"/>
    <n v="0"/>
    <n v="0"/>
    <n v="0"/>
    <m/>
    <n v="66.599999999999994"/>
    <m/>
    <n v="0"/>
  </r>
  <r>
    <s v="USR-101326"/>
    <d v="2025-05-13T00:00:00"/>
    <x v="1"/>
    <x v="0"/>
    <x v="1"/>
    <x v="1"/>
    <s v="Premium"/>
    <n v="1"/>
    <n v="0"/>
    <n v="0"/>
    <x v="0"/>
    <n v="0"/>
    <n v="0"/>
    <n v="0"/>
    <m/>
    <n v="49.7"/>
    <m/>
    <n v="0"/>
  </r>
  <r>
    <s v="USR-101327"/>
    <d v="2025-02-02T00:00:00"/>
    <x v="1"/>
    <x v="3"/>
    <x v="1"/>
    <x v="2"/>
    <s v="Basic"/>
    <n v="0"/>
    <n v="0"/>
    <n v="0"/>
    <x v="0"/>
    <n v="0"/>
    <n v="0"/>
    <n v="0"/>
    <m/>
    <n v="67.900000000000006"/>
    <m/>
    <n v="0"/>
  </r>
  <r>
    <s v="USR-101328"/>
    <d v="2025-04-30T00:00:00"/>
    <x v="1"/>
    <x v="1"/>
    <x v="1"/>
    <x v="5"/>
    <s v="Basic"/>
    <n v="0"/>
    <n v="0"/>
    <n v="0"/>
    <x v="0"/>
    <n v="0"/>
    <n v="0"/>
    <n v="0"/>
    <m/>
    <n v="66.900000000000006"/>
    <m/>
    <n v="0"/>
  </r>
  <r>
    <s v="USR-101329"/>
    <d v="2025-03-29T00:00:00"/>
    <x v="1"/>
    <x v="2"/>
    <x v="1"/>
    <x v="1"/>
    <s v="Free"/>
    <n v="0"/>
    <n v="0"/>
    <n v="0"/>
    <x v="0"/>
    <n v="0"/>
    <n v="0"/>
    <n v="0"/>
    <m/>
    <n v="46.1"/>
    <m/>
    <n v="0"/>
  </r>
  <r>
    <s v="USR-101330"/>
    <d v="2025-04-09T00:00:00"/>
    <x v="1"/>
    <x v="1"/>
    <x v="0"/>
    <x v="3"/>
    <s v="Premium"/>
    <n v="1"/>
    <n v="0"/>
    <n v="0"/>
    <x v="0"/>
    <n v="0"/>
    <n v="0"/>
    <n v="0"/>
    <m/>
    <n v="85.6"/>
    <m/>
    <n v="0"/>
  </r>
  <r>
    <s v="USR-101331"/>
    <d v="2025-01-22T00:00:00"/>
    <x v="1"/>
    <x v="3"/>
    <x v="2"/>
    <x v="1"/>
    <s v="Free"/>
    <n v="0"/>
    <n v="0"/>
    <n v="0"/>
    <x v="0"/>
    <n v="0"/>
    <n v="0"/>
    <n v="0"/>
    <m/>
    <n v="39.6"/>
    <m/>
    <n v="0"/>
  </r>
  <r>
    <s v="USR-101332"/>
    <d v="2025-01-27T00:00:00"/>
    <x v="1"/>
    <x v="3"/>
    <x v="1"/>
    <x v="1"/>
    <s v="Basic"/>
    <n v="1"/>
    <n v="0"/>
    <n v="0"/>
    <x v="0"/>
    <n v="0"/>
    <n v="0"/>
    <n v="0"/>
    <m/>
    <n v="52.5"/>
    <m/>
    <n v="0"/>
  </r>
  <r>
    <s v="USR-101333"/>
    <d v="2025-01-22T00:00:00"/>
    <x v="1"/>
    <x v="2"/>
    <x v="1"/>
    <x v="4"/>
    <s v="Premium"/>
    <n v="1"/>
    <n v="0"/>
    <n v="0"/>
    <x v="0"/>
    <n v="0"/>
    <n v="0"/>
    <n v="0"/>
    <m/>
    <n v="73.5"/>
    <m/>
    <n v="0"/>
  </r>
  <r>
    <s v="USR-101334"/>
    <d v="2025-01-06T00:00:00"/>
    <x v="1"/>
    <x v="1"/>
    <x v="0"/>
    <x v="2"/>
    <s v="Free"/>
    <n v="0"/>
    <n v="0"/>
    <n v="0"/>
    <x v="0"/>
    <n v="0"/>
    <n v="0"/>
    <n v="0"/>
    <m/>
    <n v="62.5"/>
    <m/>
    <n v="0"/>
  </r>
  <r>
    <s v="USR-101335"/>
    <d v="2025-04-16T00:00:00"/>
    <x v="1"/>
    <x v="3"/>
    <x v="3"/>
    <x v="1"/>
    <s v="Free"/>
    <n v="1"/>
    <n v="0"/>
    <n v="0"/>
    <x v="0"/>
    <n v="0"/>
    <n v="0"/>
    <n v="0"/>
    <m/>
    <n v="76.900000000000006"/>
    <m/>
    <n v="0"/>
  </r>
  <r>
    <s v="USR-101336"/>
    <d v="2025-04-14T00:00:00"/>
    <x v="1"/>
    <x v="3"/>
    <x v="1"/>
    <x v="1"/>
    <s v="Free"/>
    <n v="1"/>
    <n v="0"/>
    <n v="0"/>
    <x v="0"/>
    <n v="0"/>
    <n v="0"/>
    <n v="0"/>
    <m/>
    <n v="51.4"/>
    <m/>
    <n v="0"/>
  </r>
  <r>
    <s v="USR-101337"/>
    <d v="2025-02-22T00:00:00"/>
    <x v="1"/>
    <x v="1"/>
    <x v="1"/>
    <x v="2"/>
    <s v="Basic"/>
    <n v="1"/>
    <n v="0"/>
    <n v="0"/>
    <x v="0"/>
    <n v="0"/>
    <n v="0"/>
    <n v="0"/>
    <m/>
    <n v="59.3"/>
    <m/>
    <n v="0"/>
  </r>
  <r>
    <s v="USR-101338"/>
    <d v="2025-03-09T00:00:00"/>
    <x v="1"/>
    <x v="0"/>
    <x v="1"/>
    <x v="1"/>
    <s v="Basic"/>
    <n v="0"/>
    <n v="0"/>
    <n v="0"/>
    <x v="0"/>
    <n v="0"/>
    <n v="0"/>
    <n v="0"/>
    <m/>
    <n v="74.900000000000006"/>
    <m/>
    <n v="0"/>
  </r>
  <r>
    <s v="USR-101339"/>
    <d v="2025-04-20T00:00:00"/>
    <x v="1"/>
    <x v="1"/>
    <x v="0"/>
    <x v="1"/>
    <s v="Free"/>
    <n v="1"/>
    <n v="0"/>
    <n v="0"/>
    <x v="0"/>
    <n v="0"/>
    <n v="0"/>
    <n v="0"/>
    <m/>
    <n v="67"/>
    <m/>
    <n v="0"/>
  </r>
  <r>
    <s v="USR-101340"/>
    <d v="2025-03-10T00:00:00"/>
    <x v="1"/>
    <x v="3"/>
    <x v="1"/>
    <x v="0"/>
    <s v="Free"/>
    <n v="0"/>
    <n v="0"/>
    <n v="0"/>
    <x v="0"/>
    <n v="0"/>
    <n v="0"/>
    <n v="0"/>
    <m/>
    <n v="63.6"/>
    <m/>
    <n v="0"/>
  </r>
  <r>
    <s v="USR-101341"/>
    <d v="2025-02-21T00:00:00"/>
    <x v="1"/>
    <x v="3"/>
    <x v="1"/>
    <x v="0"/>
    <s v="Free"/>
    <n v="1"/>
    <n v="1"/>
    <n v="0"/>
    <x v="0"/>
    <n v="0"/>
    <n v="1"/>
    <n v="0"/>
    <m/>
    <n v="58.4"/>
    <m/>
    <n v="1"/>
  </r>
  <r>
    <s v="USR-101342"/>
    <d v="2025-01-06T00:00:00"/>
    <x v="1"/>
    <x v="0"/>
    <x v="0"/>
    <x v="4"/>
    <s v="Free"/>
    <n v="1"/>
    <n v="0"/>
    <n v="0"/>
    <x v="0"/>
    <n v="0"/>
    <n v="0"/>
    <n v="0"/>
    <m/>
    <n v="36.799999999999997"/>
    <m/>
    <n v="0"/>
  </r>
  <r>
    <s v="USR-101343"/>
    <d v="2025-04-17T00:00:00"/>
    <x v="1"/>
    <x v="3"/>
    <x v="1"/>
    <x v="1"/>
    <s v="Premium"/>
    <n v="1"/>
    <n v="0"/>
    <n v="0"/>
    <x v="0"/>
    <n v="0"/>
    <n v="0"/>
    <n v="0"/>
    <m/>
    <n v="71.599999999999994"/>
    <m/>
    <n v="0"/>
  </r>
  <r>
    <s v="USR-101344"/>
    <d v="2025-05-23T00:00:00"/>
    <x v="1"/>
    <x v="3"/>
    <x v="1"/>
    <x v="0"/>
    <s v="Basic"/>
    <n v="1"/>
    <n v="1"/>
    <n v="0"/>
    <x v="0"/>
    <n v="0"/>
    <n v="1"/>
    <n v="0"/>
    <m/>
    <n v="79.7"/>
    <m/>
    <n v="1"/>
  </r>
  <r>
    <s v="USR-101345"/>
    <d v="2025-03-14T00:00:00"/>
    <x v="1"/>
    <x v="1"/>
    <x v="0"/>
    <x v="1"/>
    <s v="Basic"/>
    <n v="1"/>
    <n v="0"/>
    <n v="0"/>
    <x v="0"/>
    <n v="0"/>
    <n v="1"/>
    <n v="0"/>
    <m/>
    <n v="56.5"/>
    <m/>
    <n v="1"/>
  </r>
  <r>
    <s v="USR-101346"/>
    <d v="2025-04-21T00:00:00"/>
    <x v="1"/>
    <x v="0"/>
    <x v="1"/>
    <x v="4"/>
    <s v="Premium"/>
    <n v="1"/>
    <n v="0"/>
    <n v="0"/>
    <x v="0"/>
    <n v="0"/>
    <n v="0"/>
    <n v="0"/>
    <m/>
    <n v="44.7"/>
    <m/>
    <n v="0"/>
  </r>
  <r>
    <s v="USR-101347"/>
    <d v="2025-01-03T00:00:00"/>
    <x v="1"/>
    <x v="3"/>
    <x v="1"/>
    <x v="4"/>
    <s v="Free"/>
    <n v="1"/>
    <n v="1"/>
    <n v="1"/>
    <x v="0"/>
    <n v="0"/>
    <n v="1"/>
    <n v="0"/>
    <m/>
    <n v="66"/>
    <m/>
    <n v="1"/>
  </r>
  <r>
    <s v="USR-101348"/>
    <d v="2025-05-09T00:00:00"/>
    <x v="1"/>
    <x v="0"/>
    <x v="0"/>
    <x v="1"/>
    <s v="Basic"/>
    <n v="1"/>
    <n v="0"/>
    <n v="0"/>
    <x v="0"/>
    <n v="0"/>
    <n v="0"/>
    <n v="0"/>
    <m/>
    <n v="73"/>
    <m/>
    <n v="0"/>
  </r>
  <r>
    <s v="USR-101349"/>
    <d v="2025-05-22T00:00:00"/>
    <x v="1"/>
    <x v="3"/>
    <x v="1"/>
    <x v="1"/>
    <s v="Basic"/>
    <n v="1"/>
    <n v="1"/>
    <n v="1"/>
    <x v="0"/>
    <n v="0"/>
    <n v="1"/>
    <n v="0"/>
    <m/>
    <n v="72.5"/>
    <m/>
    <n v="1"/>
  </r>
  <r>
    <s v="USR-101350"/>
    <d v="2025-05-07T00:00:00"/>
    <x v="1"/>
    <x v="3"/>
    <x v="0"/>
    <x v="2"/>
    <s v="Free"/>
    <n v="1"/>
    <n v="1"/>
    <n v="1"/>
    <x v="1"/>
    <n v="323.60000000000002"/>
    <n v="0"/>
    <n v="0"/>
    <n v="6"/>
    <n v="100"/>
    <m/>
    <n v="0"/>
  </r>
  <r>
    <s v="USR-101351"/>
    <d v="2025-02-08T00:00:00"/>
    <x v="1"/>
    <x v="2"/>
    <x v="1"/>
    <x v="4"/>
    <s v="Free"/>
    <n v="0"/>
    <n v="0"/>
    <n v="0"/>
    <x v="0"/>
    <n v="0"/>
    <n v="1"/>
    <n v="0"/>
    <m/>
    <n v="90.5"/>
    <m/>
    <n v="1"/>
  </r>
  <r>
    <s v="USR-101352"/>
    <d v="2025-04-03T00:00:00"/>
    <x v="1"/>
    <x v="0"/>
    <x v="2"/>
    <x v="4"/>
    <s v="Basic"/>
    <n v="1"/>
    <n v="0"/>
    <n v="0"/>
    <x v="0"/>
    <n v="0"/>
    <n v="0"/>
    <n v="0"/>
    <m/>
    <n v="70.2"/>
    <m/>
    <n v="0"/>
  </r>
  <r>
    <s v="USR-101353"/>
    <d v="2025-04-17T00:00:00"/>
    <x v="1"/>
    <x v="2"/>
    <x v="0"/>
    <x v="2"/>
    <s v="Free"/>
    <n v="1"/>
    <n v="0"/>
    <n v="0"/>
    <x v="0"/>
    <n v="0"/>
    <n v="1"/>
    <n v="0"/>
    <m/>
    <n v="67.099999999999994"/>
    <m/>
    <n v="1"/>
  </r>
  <r>
    <s v="USR-101354"/>
    <d v="2025-05-04T00:00:00"/>
    <x v="1"/>
    <x v="2"/>
    <x v="1"/>
    <x v="1"/>
    <s v="Free"/>
    <n v="0"/>
    <n v="0"/>
    <n v="0"/>
    <x v="0"/>
    <n v="0"/>
    <n v="0"/>
    <n v="0"/>
    <m/>
    <n v="54.5"/>
    <m/>
    <n v="0"/>
  </r>
  <r>
    <s v="USR-101355"/>
    <d v="2025-05-11T00:00:00"/>
    <x v="1"/>
    <x v="1"/>
    <x v="0"/>
    <x v="1"/>
    <s v="Free"/>
    <n v="1"/>
    <n v="0"/>
    <n v="0"/>
    <x v="0"/>
    <n v="0"/>
    <n v="0"/>
    <n v="0"/>
    <m/>
    <n v="63.4"/>
    <m/>
    <n v="0"/>
  </r>
  <r>
    <s v="USR-101356"/>
    <d v="2025-03-01T00:00:00"/>
    <x v="1"/>
    <x v="0"/>
    <x v="0"/>
    <x v="5"/>
    <s v="Free"/>
    <n v="1"/>
    <n v="1"/>
    <n v="1"/>
    <x v="0"/>
    <n v="0"/>
    <n v="0"/>
    <n v="0"/>
    <m/>
    <n v="84.3"/>
    <m/>
    <n v="0"/>
  </r>
  <r>
    <s v="USR-101357"/>
    <d v="2025-02-20T00:00:00"/>
    <x v="1"/>
    <x v="1"/>
    <x v="0"/>
    <x v="1"/>
    <s v="Free"/>
    <n v="1"/>
    <n v="0"/>
    <n v="0"/>
    <x v="0"/>
    <n v="0"/>
    <n v="1"/>
    <n v="0"/>
    <m/>
    <n v="55"/>
    <m/>
    <n v="1"/>
  </r>
  <r>
    <s v="USR-101358"/>
    <d v="2025-05-09T00:00:00"/>
    <x v="1"/>
    <x v="1"/>
    <x v="1"/>
    <x v="4"/>
    <s v="Free"/>
    <n v="1"/>
    <n v="0"/>
    <n v="0"/>
    <x v="0"/>
    <n v="0"/>
    <n v="0"/>
    <n v="0"/>
    <m/>
    <n v="63.6"/>
    <m/>
    <n v="0"/>
  </r>
  <r>
    <s v="USR-101359"/>
    <d v="2025-04-30T00:00:00"/>
    <x v="1"/>
    <x v="1"/>
    <x v="1"/>
    <x v="1"/>
    <s v="Free"/>
    <n v="1"/>
    <n v="0"/>
    <n v="0"/>
    <x v="0"/>
    <n v="0"/>
    <n v="0"/>
    <n v="0"/>
    <m/>
    <n v="55.5"/>
    <m/>
    <n v="0"/>
  </r>
  <r>
    <s v="USR-101360"/>
    <d v="2025-01-07T00:00:00"/>
    <x v="1"/>
    <x v="3"/>
    <x v="1"/>
    <x v="4"/>
    <s v="Basic"/>
    <n v="0"/>
    <n v="0"/>
    <n v="0"/>
    <x v="0"/>
    <n v="0"/>
    <n v="0"/>
    <n v="0"/>
    <m/>
    <n v="50.5"/>
    <m/>
    <n v="0"/>
  </r>
  <r>
    <s v="USR-101361"/>
    <d v="2025-04-30T00:00:00"/>
    <x v="1"/>
    <x v="0"/>
    <x v="1"/>
    <x v="4"/>
    <s v="Basic"/>
    <n v="1"/>
    <n v="0"/>
    <n v="0"/>
    <x v="0"/>
    <n v="0"/>
    <n v="0"/>
    <n v="0"/>
    <m/>
    <n v="45.3"/>
    <m/>
    <n v="0"/>
  </r>
  <r>
    <s v="USR-101362"/>
    <d v="2025-05-23T00:00:00"/>
    <x v="1"/>
    <x v="2"/>
    <x v="1"/>
    <x v="1"/>
    <s v="Basic"/>
    <n v="1"/>
    <n v="0"/>
    <n v="0"/>
    <x v="0"/>
    <n v="0"/>
    <n v="0"/>
    <n v="0"/>
    <m/>
    <n v="33.6"/>
    <m/>
    <n v="0"/>
  </r>
  <r>
    <s v="USR-101363"/>
    <d v="2025-03-12T00:00:00"/>
    <x v="1"/>
    <x v="3"/>
    <x v="1"/>
    <x v="2"/>
    <s v="Premium"/>
    <n v="1"/>
    <n v="1"/>
    <n v="1"/>
    <x v="0"/>
    <n v="0"/>
    <n v="0"/>
    <n v="0"/>
    <m/>
    <n v="88.2"/>
    <m/>
    <n v="0"/>
  </r>
  <r>
    <s v="USR-101364"/>
    <d v="2025-02-17T00:00:00"/>
    <x v="1"/>
    <x v="0"/>
    <x v="1"/>
    <x v="1"/>
    <s v="Premium"/>
    <n v="1"/>
    <n v="0"/>
    <n v="0"/>
    <x v="0"/>
    <n v="0"/>
    <n v="0"/>
    <n v="0"/>
    <m/>
    <n v="51.8"/>
    <m/>
    <n v="0"/>
  </r>
  <r>
    <s v="USR-101365"/>
    <d v="2025-05-27T00:00:00"/>
    <x v="1"/>
    <x v="0"/>
    <x v="0"/>
    <x v="1"/>
    <s v="Basic"/>
    <n v="0"/>
    <n v="0"/>
    <n v="0"/>
    <x v="0"/>
    <n v="0"/>
    <n v="0"/>
    <n v="0"/>
    <m/>
    <n v="87.9"/>
    <m/>
    <n v="0"/>
  </r>
  <r>
    <s v="USR-101366"/>
    <d v="2025-05-10T00:00:00"/>
    <x v="1"/>
    <x v="3"/>
    <x v="1"/>
    <x v="4"/>
    <s v="Premium"/>
    <n v="1"/>
    <n v="0"/>
    <n v="0"/>
    <x v="0"/>
    <n v="0"/>
    <n v="2"/>
    <n v="0"/>
    <m/>
    <n v="70.5"/>
    <m/>
    <n v="1"/>
  </r>
  <r>
    <s v="USR-101367"/>
    <d v="2025-01-20T00:00:00"/>
    <x v="1"/>
    <x v="0"/>
    <x v="1"/>
    <x v="1"/>
    <s v="Basic"/>
    <n v="1"/>
    <n v="1"/>
    <n v="0"/>
    <x v="0"/>
    <n v="0"/>
    <n v="2"/>
    <n v="0"/>
    <m/>
    <n v="58.5"/>
    <m/>
    <n v="1"/>
  </r>
  <r>
    <s v="USR-101368"/>
    <d v="2025-01-19T00:00:00"/>
    <x v="1"/>
    <x v="2"/>
    <x v="1"/>
    <x v="3"/>
    <s v="Free"/>
    <n v="1"/>
    <n v="0"/>
    <n v="0"/>
    <x v="0"/>
    <n v="0"/>
    <n v="0"/>
    <n v="0"/>
    <m/>
    <n v="65.599999999999994"/>
    <m/>
    <n v="0"/>
  </r>
  <r>
    <s v="USR-101369"/>
    <d v="2025-03-07T00:00:00"/>
    <x v="1"/>
    <x v="1"/>
    <x v="0"/>
    <x v="2"/>
    <s v="Basic"/>
    <n v="1"/>
    <n v="1"/>
    <n v="0"/>
    <x v="0"/>
    <n v="0"/>
    <n v="0"/>
    <n v="0"/>
    <m/>
    <n v="62.7"/>
    <m/>
    <n v="0"/>
  </r>
  <r>
    <s v="USR-101370"/>
    <d v="2025-02-02T00:00:00"/>
    <x v="1"/>
    <x v="2"/>
    <x v="1"/>
    <x v="1"/>
    <s v="Free"/>
    <n v="0"/>
    <n v="0"/>
    <n v="0"/>
    <x v="0"/>
    <n v="0"/>
    <n v="1"/>
    <n v="0"/>
    <m/>
    <n v="50.9"/>
    <m/>
    <n v="1"/>
  </r>
  <r>
    <s v="USR-101371"/>
    <d v="2025-03-07T00:00:00"/>
    <x v="1"/>
    <x v="0"/>
    <x v="1"/>
    <x v="1"/>
    <s v="Free"/>
    <n v="0"/>
    <n v="0"/>
    <n v="0"/>
    <x v="0"/>
    <n v="0"/>
    <n v="1"/>
    <n v="0"/>
    <m/>
    <n v="60.6"/>
    <m/>
    <n v="1"/>
  </r>
  <r>
    <s v="USR-101372"/>
    <d v="2025-03-30T00:00:00"/>
    <x v="1"/>
    <x v="2"/>
    <x v="0"/>
    <x v="1"/>
    <s v="Free"/>
    <n v="1"/>
    <n v="1"/>
    <n v="1"/>
    <x v="0"/>
    <n v="0"/>
    <n v="0"/>
    <n v="0"/>
    <m/>
    <n v="76.599999999999994"/>
    <m/>
    <n v="0"/>
  </r>
  <r>
    <s v="USR-101373"/>
    <d v="2025-05-05T00:00:00"/>
    <x v="1"/>
    <x v="2"/>
    <x v="0"/>
    <x v="2"/>
    <s v="Free"/>
    <n v="1"/>
    <n v="1"/>
    <n v="1"/>
    <x v="0"/>
    <n v="0"/>
    <n v="0"/>
    <n v="0"/>
    <m/>
    <n v="54.4"/>
    <m/>
    <n v="0"/>
  </r>
  <r>
    <s v="USR-101374"/>
    <d v="2025-04-11T00:00:00"/>
    <x v="1"/>
    <x v="3"/>
    <x v="1"/>
    <x v="4"/>
    <s v="Free"/>
    <n v="1"/>
    <n v="0"/>
    <n v="0"/>
    <x v="0"/>
    <n v="0"/>
    <n v="0"/>
    <n v="0"/>
    <m/>
    <n v="31.2"/>
    <m/>
    <n v="0"/>
  </r>
  <r>
    <s v="USR-101375"/>
    <d v="2025-03-25T00:00:00"/>
    <x v="1"/>
    <x v="1"/>
    <x v="0"/>
    <x v="0"/>
    <s v="Premium"/>
    <n v="1"/>
    <n v="0"/>
    <n v="0"/>
    <x v="0"/>
    <n v="0"/>
    <n v="0"/>
    <n v="0"/>
    <m/>
    <n v="72.400000000000006"/>
    <m/>
    <n v="0"/>
  </r>
  <r>
    <s v="USR-101376"/>
    <d v="2025-03-24T00:00:00"/>
    <x v="1"/>
    <x v="0"/>
    <x v="1"/>
    <x v="1"/>
    <s v="Premium"/>
    <n v="1"/>
    <n v="0"/>
    <n v="0"/>
    <x v="0"/>
    <n v="0"/>
    <n v="0"/>
    <n v="0"/>
    <m/>
    <n v="74.5"/>
    <m/>
    <n v="0"/>
  </r>
  <r>
    <s v="USR-101377"/>
    <d v="2025-04-27T00:00:00"/>
    <x v="1"/>
    <x v="2"/>
    <x v="1"/>
    <x v="1"/>
    <s v="Basic"/>
    <n v="0"/>
    <n v="0"/>
    <n v="0"/>
    <x v="0"/>
    <n v="0"/>
    <n v="0"/>
    <n v="0"/>
    <m/>
    <n v="52.6"/>
    <m/>
    <n v="0"/>
  </r>
  <r>
    <s v="USR-101378"/>
    <d v="2025-01-25T00:00:00"/>
    <x v="1"/>
    <x v="0"/>
    <x v="0"/>
    <x v="2"/>
    <s v="Free"/>
    <n v="1"/>
    <n v="0"/>
    <n v="0"/>
    <x v="0"/>
    <n v="0"/>
    <n v="0"/>
    <n v="0"/>
    <m/>
    <n v="75.400000000000006"/>
    <m/>
    <n v="0"/>
  </r>
  <r>
    <s v="USR-101379"/>
    <d v="2025-02-17T00:00:00"/>
    <x v="1"/>
    <x v="0"/>
    <x v="2"/>
    <x v="4"/>
    <s v="Basic"/>
    <n v="1"/>
    <n v="1"/>
    <n v="1"/>
    <x v="1"/>
    <n v="751.33"/>
    <n v="0"/>
    <n v="0"/>
    <n v="9"/>
    <n v="34"/>
    <m/>
    <n v="0"/>
  </r>
  <r>
    <s v="USR-101380"/>
    <d v="2025-04-13T00:00:00"/>
    <x v="1"/>
    <x v="3"/>
    <x v="0"/>
    <x v="1"/>
    <s v="Free"/>
    <n v="1"/>
    <n v="0"/>
    <n v="0"/>
    <x v="0"/>
    <n v="0"/>
    <n v="0"/>
    <n v="0"/>
    <m/>
    <n v="67.099999999999994"/>
    <m/>
    <n v="0"/>
  </r>
  <r>
    <s v="USR-101381"/>
    <d v="2025-05-03T00:00:00"/>
    <x v="1"/>
    <x v="1"/>
    <x v="0"/>
    <x v="2"/>
    <s v="Premium"/>
    <n v="1"/>
    <n v="0"/>
    <n v="0"/>
    <x v="0"/>
    <n v="0"/>
    <n v="0"/>
    <n v="0"/>
    <m/>
    <n v="37.299999999999997"/>
    <m/>
    <n v="0"/>
  </r>
  <r>
    <s v="USR-101382"/>
    <d v="2025-04-29T00:00:00"/>
    <x v="1"/>
    <x v="1"/>
    <x v="1"/>
    <x v="0"/>
    <s v="Free"/>
    <n v="1"/>
    <n v="0"/>
    <n v="0"/>
    <x v="0"/>
    <n v="0"/>
    <n v="0"/>
    <n v="0"/>
    <m/>
    <n v="54.7"/>
    <m/>
    <n v="0"/>
  </r>
  <r>
    <s v="USR-101383"/>
    <d v="2025-05-03T00:00:00"/>
    <x v="1"/>
    <x v="2"/>
    <x v="0"/>
    <x v="2"/>
    <s v="Free"/>
    <n v="1"/>
    <n v="0"/>
    <n v="0"/>
    <x v="0"/>
    <n v="0"/>
    <n v="0"/>
    <n v="0"/>
    <m/>
    <n v="51.8"/>
    <m/>
    <n v="0"/>
  </r>
  <r>
    <s v="USR-101384"/>
    <d v="2025-04-28T00:00:00"/>
    <x v="1"/>
    <x v="1"/>
    <x v="1"/>
    <x v="2"/>
    <s v="Free"/>
    <n v="0"/>
    <n v="0"/>
    <n v="0"/>
    <x v="0"/>
    <n v="0"/>
    <n v="0"/>
    <n v="0"/>
    <m/>
    <n v="49.2"/>
    <m/>
    <n v="0"/>
  </r>
  <r>
    <s v="USR-101385"/>
    <d v="2025-01-21T00:00:00"/>
    <x v="1"/>
    <x v="1"/>
    <x v="1"/>
    <x v="1"/>
    <s v="Free"/>
    <n v="1"/>
    <n v="0"/>
    <n v="0"/>
    <x v="0"/>
    <n v="0"/>
    <n v="2"/>
    <n v="0"/>
    <m/>
    <n v="58.8"/>
    <m/>
    <n v="1"/>
  </r>
  <r>
    <s v="USR-101386"/>
    <d v="2025-01-21T00:00:00"/>
    <x v="1"/>
    <x v="0"/>
    <x v="2"/>
    <x v="2"/>
    <s v="Basic"/>
    <n v="0"/>
    <n v="0"/>
    <n v="0"/>
    <x v="0"/>
    <n v="0"/>
    <n v="1"/>
    <n v="0"/>
    <m/>
    <n v="59.1"/>
    <m/>
    <n v="1"/>
  </r>
  <r>
    <s v="USR-101387"/>
    <d v="2025-05-21T00:00:00"/>
    <x v="1"/>
    <x v="1"/>
    <x v="0"/>
    <x v="2"/>
    <s v="Free"/>
    <n v="1"/>
    <n v="0"/>
    <n v="0"/>
    <x v="0"/>
    <n v="0"/>
    <n v="2"/>
    <n v="0"/>
    <m/>
    <n v="49.6"/>
    <m/>
    <n v="1"/>
  </r>
  <r>
    <s v="USR-101388"/>
    <d v="2025-01-05T00:00:00"/>
    <x v="1"/>
    <x v="0"/>
    <x v="1"/>
    <x v="3"/>
    <s v="Free"/>
    <n v="0"/>
    <n v="0"/>
    <n v="0"/>
    <x v="0"/>
    <n v="0"/>
    <n v="0"/>
    <n v="0"/>
    <m/>
    <n v="58.2"/>
    <m/>
    <n v="0"/>
  </r>
  <r>
    <s v="USR-101389"/>
    <d v="2025-03-06T00:00:00"/>
    <x v="1"/>
    <x v="3"/>
    <x v="0"/>
    <x v="1"/>
    <s v="Free"/>
    <n v="1"/>
    <n v="0"/>
    <n v="0"/>
    <x v="0"/>
    <n v="0"/>
    <n v="0"/>
    <n v="0"/>
    <m/>
    <n v="66.8"/>
    <m/>
    <n v="0"/>
  </r>
  <r>
    <s v="USR-101390"/>
    <d v="2025-04-18T00:00:00"/>
    <x v="1"/>
    <x v="0"/>
    <x v="1"/>
    <x v="2"/>
    <s v="Free"/>
    <n v="1"/>
    <n v="0"/>
    <n v="0"/>
    <x v="0"/>
    <n v="0"/>
    <n v="3"/>
    <n v="0"/>
    <m/>
    <n v="58.3"/>
    <m/>
    <n v="1"/>
  </r>
  <r>
    <s v="USR-101391"/>
    <d v="2025-04-15T00:00:00"/>
    <x v="1"/>
    <x v="1"/>
    <x v="1"/>
    <x v="1"/>
    <s v="Basic"/>
    <n v="1"/>
    <n v="1"/>
    <n v="1"/>
    <x v="0"/>
    <n v="0"/>
    <n v="0"/>
    <n v="0"/>
    <m/>
    <n v="38.5"/>
    <m/>
    <n v="0"/>
  </r>
  <r>
    <s v="USR-101392"/>
    <d v="2025-02-10T00:00:00"/>
    <x v="1"/>
    <x v="2"/>
    <x v="1"/>
    <x v="2"/>
    <s v="Free"/>
    <n v="1"/>
    <n v="0"/>
    <n v="0"/>
    <x v="0"/>
    <n v="0"/>
    <n v="0"/>
    <n v="0"/>
    <m/>
    <n v="76.900000000000006"/>
    <m/>
    <n v="0"/>
  </r>
  <r>
    <s v="USR-101393"/>
    <d v="2025-05-08T00:00:00"/>
    <x v="1"/>
    <x v="2"/>
    <x v="1"/>
    <x v="1"/>
    <s v="Free"/>
    <n v="1"/>
    <n v="0"/>
    <n v="0"/>
    <x v="0"/>
    <n v="0"/>
    <n v="0"/>
    <n v="0"/>
    <m/>
    <n v="54"/>
    <m/>
    <n v="0"/>
  </r>
  <r>
    <s v="USR-101394"/>
    <d v="2025-05-28T00:00:00"/>
    <x v="1"/>
    <x v="2"/>
    <x v="2"/>
    <x v="1"/>
    <s v="Free"/>
    <n v="1"/>
    <n v="0"/>
    <n v="0"/>
    <x v="0"/>
    <n v="0"/>
    <n v="0"/>
    <n v="0"/>
    <m/>
    <n v="70.599999999999994"/>
    <m/>
    <n v="0"/>
  </r>
  <r>
    <s v="USR-101395"/>
    <d v="2025-04-25T00:00:00"/>
    <x v="1"/>
    <x v="0"/>
    <x v="2"/>
    <x v="3"/>
    <s v="Premium"/>
    <n v="1"/>
    <n v="1"/>
    <n v="1"/>
    <x v="0"/>
    <n v="0"/>
    <n v="1"/>
    <n v="0"/>
    <m/>
    <n v="69.400000000000006"/>
    <m/>
    <n v="1"/>
  </r>
  <r>
    <s v="USR-101396"/>
    <d v="2025-02-11T00:00:00"/>
    <x v="1"/>
    <x v="3"/>
    <x v="1"/>
    <x v="5"/>
    <s v="Premium"/>
    <n v="1"/>
    <n v="1"/>
    <n v="1"/>
    <x v="1"/>
    <n v="1009.9"/>
    <n v="0"/>
    <n v="0"/>
    <n v="6"/>
    <n v="89.7"/>
    <m/>
    <n v="0"/>
  </r>
  <r>
    <s v="USR-101397"/>
    <d v="2025-04-14T00:00:00"/>
    <x v="1"/>
    <x v="1"/>
    <x v="1"/>
    <x v="1"/>
    <s v="Free"/>
    <n v="1"/>
    <n v="0"/>
    <n v="0"/>
    <x v="0"/>
    <n v="0"/>
    <n v="0"/>
    <n v="0"/>
    <m/>
    <n v="62.4"/>
    <m/>
    <n v="0"/>
  </r>
  <r>
    <s v="USR-101398"/>
    <d v="2025-02-04T00:00:00"/>
    <x v="1"/>
    <x v="1"/>
    <x v="2"/>
    <x v="1"/>
    <s v="Premium"/>
    <n v="0"/>
    <n v="0"/>
    <n v="0"/>
    <x v="0"/>
    <n v="0"/>
    <n v="0"/>
    <n v="0"/>
    <m/>
    <n v="67.3"/>
    <m/>
    <n v="0"/>
  </r>
  <r>
    <s v="USR-101399"/>
    <d v="2025-03-22T00:00:00"/>
    <x v="1"/>
    <x v="2"/>
    <x v="1"/>
    <x v="3"/>
    <s v="Free"/>
    <n v="1"/>
    <n v="0"/>
    <n v="0"/>
    <x v="0"/>
    <n v="0"/>
    <n v="0"/>
    <n v="0"/>
    <m/>
    <n v="54.9"/>
    <m/>
    <n v="0"/>
  </r>
  <r>
    <s v="USR-101400"/>
    <d v="2025-04-18T00:00:00"/>
    <x v="1"/>
    <x v="2"/>
    <x v="0"/>
    <x v="4"/>
    <s v="Free"/>
    <n v="0"/>
    <n v="0"/>
    <n v="0"/>
    <x v="0"/>
    <n v="0"/>
    <n v="0"/>
    <n v="0"/>
    <m/>
    <n v="55.7"/>
    <m/>
    <n v="0"/>
  </r>
  <r>
    <s v="USR-100917"/>
    <d v="2025-02-23T00:00:00"/>
    <x v="1"/>
    <x v="1"/>
    <x v="0"/>
    <x v="4"/>
    <s v="Basic"/>
    <n v="1"/>
    <n v="1"/>
    <n v="1"/>
    <x v="0"/>
    <n v="0"/>
    <n v="0"/>
    <n v="0"/>
    <m/>
    <n v="70.599999999999994"/>
    <m/>
    <n v="0"/>
  </r>
  <r>
    <s v="USR-100433"/>
    <d v="2025-02-03T00:00:00"/>
    <x v="0"/>
    <x v="0"/>
    <x v="2"/>
    <x v="0"/>
    <s v="Basic"/>
    <n v="1"/>
    <n v="0"/>
    <n v="0"/>
    <x v="0"/>
    <n v="0"/>
    <n v="0"/>
    <n v="0"/>
    <m/>
    <n v="60.9"/>
    <m/>
    <n v="0"/>
  </r>
  <r>
    <s v="USR-101362"/>
    <d v="2025-05-23T00:00:00"/>
    <x v="1"/>
    <x v="2"/>
    <x v="1"/>
    <x v="1"/>
    <s v="Basic"/>
    <n v="1"/>
    <n v="0"/>
    <n v="0"/>
    <x v="0"/>
    <n v="0"/>
    <n v="0"/>
    <n v="0"/>
    <m/>
    <n v="33.6"/>
    <m/>
    <n v="0"/>
  </r>
  <r>
    <s v="USR-100096"/>
    <d v="2025-02-05T00:00:00"/>
    <x v="0"/>
    <x v="2"/>
    <x v="1"/>
    <x v="4"/>
    <s v="Free"/>
    <n v="0"/>
    <n v="0"/>
    <n v="0"/>
    <x v="0"/>
    <n v="0"/>
    <n v="0"/>
    <n v="0"/>
    <m/>
    <n v="68"/>
    <m/>
    <n v="0"/>
  </r>
  <r>
    <s v="USR-101210"/>
    <d v="2025-02-24T00:00:00"/>
    <x v="1"/>
    <x v="1"/>
    <x v="1"/>
    <x v="1"/>
    <s v="Basic"/>
    <n v="1"/>
    <n v="0"/>
    <n v="0"/>
    <x v="0"/>
    <n v="0"/>
    <n v="0"/>
    <n v="0"/>
    <m/>
    <n v="62"/>
    <m/>
    <n v="0"/>
  </r>
  <r>
    <s v="USR-101232"/>
    <d v="2025-03-30T00:00:00"/>
    <x v="1"/>
    <x v="2"/>
    <x v="1"/>
    <x v="1"/>
    <s v="Free"/>
    <n v="1"/>
    <n v="1"/>
    <n v="1"/>
    <x v="0"/>
    <n v="0"/>
    <n v="1"/>
    <n v="0"/>
    <m/>
    <n v="72.5"/>
    <m/>
    <n v="1"/>
  </r>
  <r>
    <s v="USR-101059"/>
    <d v="2025-05-16T00:00:00"/>
    <x v="1"/>
    <x v="3"/>
    <x v="1"/>
    <x v="1"/>
    <s v="Free"/>
    <n v="1"/>
    <n v="0"/>
    <n v="0"/>
    <x v="0"/>
    <n v="0"/>
    <n v="0"/>
    <n v="0"/>
    <m/>
    <n v="70.3"/>
    <m/>
    <n v="0"/>
  </r>
  <r>
    <s v="USR-100541"/>
    <d v="2025-05-22T00:00:00"/>
    <x v="0"/>
    <x v="0"/>
    <x v="1"/>
    <x v="2"/>
    <s v="Basic"/>
    <n v="1"/>
    <n v="1"/>
    <n v="0"/>
    <x v="0"/>
    <n v="0"/>
    <n v="0"/>
    <n v="0"/>
    <m/>
    <n v="39.9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8A18B-30C7-4E6A-B814-5BB487B30D6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6:Q9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tarted_trial" fld="8" subtotal="average" baseField="2" baseItem="0" numFmtId="10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C2F8F-D519-4017-B5C1-A295759265FB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T6:AU9" firstHeaderRow="1" firstDataRow="1" firstDataCol="1"/>
  <pivotFields count="18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engagement_score" fld="15" subtotal="average" baseField="2" baseItem="0" numFmtId="2"/>
  </dataFields>
  <formats count="7"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8E5A0-FDDB-4A21-88DE-1A745FDAA9D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B6:AC9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enue_30d" fld="11" subtotal="average" baseField="2" baseItem="0" numFmtId="165"/>
  </dataFields>
  <formats count="10">
    <format dxfId="17">
      <pivotArea collapsedLevelsAreSubtotals="1" fieldPosition="0">
        <references count="1">
          <reference field="2" count="0"/>
        </references>
      </pivotArea>
    </format>
    <format dxfId="16">
      <pivotArea dataOnly="0" labelOnly="1" fieldPosition="0">
        <references count="1">
          <reference field="2" count="0"/>
        </references>
      </pivotArea>
    </format>
    <format dxfId="15">
      <pivotArea collapsedLevelsAreSubtotals="1" fieldPosition="0">
        <references count="1">
          <reference field="2" count="0"/>
        </references>
      </pivotArea>
    </format>
    <format dxfId="14">
      <pivotArea dataOnly="0" labelOnly="1" fieldPosition="0">
        <references count="1">
          <reference field="2" count="0"/>
        </references>
      </pivotArea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D5861-AB60-45DD-AC2A-155D3863AD4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6:M9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visited_landing_page" fld="7" subtotal="average" baseField="2" baseItem="0" numFmtId="10"/>
  </dataFields>
  <formats count="1">
    <format dxfId="1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21852-976C-4FD2-974B-A6C7E1D149E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X6:Y9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nverted_to_paid" fld="10" subtotal="average" baseField="2" baseItem="0" numFmtId="10"/>
  </dataFields>
  <formats count="1">
    <format dxfId="1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E5324-876A-4F3C-BCA9-4D7D104F591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P6:AQ9" firstHeaderRow="1" firstDataRow="1" firstDataCol="1"/>
  <pivotFields count="18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upport_Ticket_Flag" fld="17" subtotal="average" baseField="2" baseItem="0" numFmtId="10"/>
  </dataFields>
  <formats count="7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FC39B-B6D0-4835-B187-F2FCECD41ECC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B8:BE14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 numFmtId="10"/>
  </dataFields>
  <formats count="13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  <format dxfId="29">
      <pivotArea collapsedLevelsAreSubtotals="1" fieldPosition="0">
        <references count="1">
          <reference field="4" count="2">
            <x v="2"/>
            <x v="3"/>
          </reference>
        </references>
      </pivotArea>
    </format>
    <format dxfId="28">
      <pivotArea dataOnly="0" labelOnly="1" fieldPosition="0">
        <references count="1">
          <reference field="4" count="2">
            <x v="2"/>
            <x v="3"/>
          </reference>
        </references>
      </pivotArea>
    </format>
    <format dxfId="27">
      <pivotArea outline="0" collapsedLevelsAreSubtotals="1" fieldPosition="0"/>
    </format>
  </formats>
  <chartFormats count="2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1DE-CA57-4BE0-8E72-5508814F80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L6:AM9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fund_requested" fld="13" subtotal="average" baseField="2" baseItem="0" numFmtId="10"/>
  </dataFields>
  <formats count="7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A9FE9-E6F5-483E-9697-773643A5D10C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M8:BP16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 numFmtId="10"/>
  </dataFields>
  <formats count="11">
    <format dxfId="57">
      <pivotArea collapsedLevelsAreSubtotals="1" fieldPosition="0">
        <references count="1">
          <reference field="5" count="0"/>
        </references>
      </pivotArea>
    </format>
    <format dxfId="56">
      <pivotArea dataOnly="0" labelOnly="1" fieldPosition="0">
        <references count="1">
          <reference field="5" count="0"/>
        </references>
      </pivotArea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field="5" type="button" dataOnly="0" labelOnly="1" outline="0" axis="axisRow" fieldPosition="0"/>
    </format>
    <format dxfId="52">
      <pivotArea dataOnly="0" labelOnly="1" fieldPosition="0">
        <references count="1">
          <reference field="2" count="0"/>
        </references>
      </pivotArea>
    </format>
    <format dxfId="51">
      <pivotArea dataOnly="0" labelOnly="1" grandCol="1" outline="0" fieldPosition="0"/>
    </format>
    <format dxfId="50">
      <pivotArea type="origin" dataOnly="0" labelOnly="1" outline="0" fieldPosition="0"/>
    </format>
    <format dxfId="49">
      <pivotArea field="2" type="button" dataOnly="0" labelOnly="1" outline="0" axis="axisCol" fieldPosition="0"/>
    </format>
    <format dxfId="48">
      <pivotArea type="topRight" dataOnly="0" labelOnly="1" outline="0" fieldPosition="0"/>
    </format>
    <format dxfId="4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FBFDF-0DA5-4848-A51E-C5959402D78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6:I9" firstHeaderRow="1" firstDataRow="1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formats count="4">
    <format dxfId="61">
      <pivotArea collapsedLevelsAreSubtotals="1" fieldPosition="0">
        <references count="1">
          <reference field="2" count="0"/>
        </references>
      </pivotArea>
    </format>
    <format dxfId="60">
      <pivotArea dataOnly="0" labelOnly="1" fieldPosition="0">
        <references count="1">
          <reference field="2" count="0"/>
        </references>
      </pivotArea>
    </format>
    <format dxfId="59">
      <pivotArea collapsedLevelsAreSubtotals="1" fieldPosition="0">
        <references count="1">
          <reference field="2" count="0"/>
        </references>
      </pivotArea>
    </format>
    <format dxfId="58">
      <pivotArea dataOnly="0" labelOnly="1" fieldPosition="0">
        <references count="1">
          <reference field="2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B5E43-DA44-4300-A1ED-0D0E3ED0BA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T6:U9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mpleted_onboarding" fld="9" subtotal="average" baseField="2" baseItem="0" numFmtId="10"/>
  </dataFields>
  <formats count="1">
    <format dxfId="6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5DB73-92DF-4A0B-A0AD-9AB89D926B5B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H8:BK14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formats count="11"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2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3" type="button" dataOnly="0" labelOnly="1" outline="0" axis="axisRow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Col="1" outline="0" fieldPosition="0"/>
    </format>
    <format dxfId="6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B095-EBC9-407B-B29A-30467EC84B9E}">
  <dimension ref="B1:BQ32"/>
  <sheetViews>
    <sheetView tabSelected="1" topLeftCell="AM1" workbookViewId="0">
      <selection activeCell="BF6" sqref="BF6"/>
    </sheetView>
  </sheetViews>
  <sheetFormatPr defaultRowHeight="14.25"/>
  <cols>
    <col min="2" max="2" width="37.875" customWidth="1"/>
    <col min="3" max="3" width="12.75" bestFit="1" customWidth="1"/>
    <col min="4" max="4" width="11.125" bestFit="1" customWidth="1"/>
    <col min="5" max="5" width="7.125" bestFit="1" customWidth="1"/>
    <col min="8" max="8" width="11.375" bestFit="1" customWidth="1"/>
    <col min="9" max="9" width="15.75" bestFit="1" customWidth="1"/>
    <col min="12" max="12" width="11.375" bestFit="1" customWidth="1"/>
    <col min="13" max="13" width="30.5" bestFit="1" customWidth="1"/>
    <col min="16" max="16" width="11.375" bestFit="1" customWidth="1"/>
    <col min="17" max="17" width="22" bestFit="1" customWidth="1"/>
    <col min="20" max="20" width="11.375" bestFit="1" customWidth="1"/>
    <col min="21" max="21" width="32" bestFit="1" customWidth="1"/>
    <col min="24" max="24" width="11.375" bestFit="1" customWidth="1"/>
    <col min="25" max="25" width="28.125" bestFit="1" customWidth="1"/>
    <col min="28" max="28" width="13.125" bestFit="1" customWidth="1"/>
    <col min="29" max="29" width="23" bestFit="1" customWidth="1"/>
    <col min="31" max="32" width="11.375" bestFit="1" customWidth="1"/>
    <col min="33" max="33" width="42.5" customWidth="1"/>
    <col min="34" max="34" width="10.375" bestFit="1" customWidth="1"/>
    <col min="35" max="35" width="11.375" bestFit="1" customWidth="1"/>
    <col min="38" max="38" width="11.375" bestFit="1" customWidth="1"/>
    <col min="39" max="39" width="27.5" bestFit="1" customWidth="1"/>
    <col min="42" max="42" width="11.375" bestFit="1" customWidth="1"/>
    <col min="43" max="43" width="30" bestFit="1" customWidth="1"/>
    <col min="46" max="46" width="11.375" bestFit="1" customWidth="1"/>
    <col min="47" max="47" width="28.5" bestFit="1" customWidth="1"/>
    <col min="50" max="50" width="17.75" bestFit="1" customWidth="1"/>
    <col min="51" max="51" width="26.125" bestFit="1" customWidth="1"/>
    <col min="54" max="54" width="28.125" bestFit="1" customWidth="1"/>
    <col min="55" max="55" width="14.125" bestFit="1" customWidth="1"/>
    <col min="56" max="57" width="11.875" bestFit="1" customWidth="1"/>
    <col min="60" max="60" width="28.125" customWidth="1"/>
    <col min="61" max="61" width="14.125" bestFit="1" customWidth="1"/>
    <col min="62" max="63" width="11.875" bestFit="1" customWidth="1"/>
    <col min="65" max="65" width="28.125" bestFit="1" customWidth="1"/>
    <col min="66" max="66" width="18.125" bestFit="1" customWidth="1"/>
    <col min="67" max="68" width="11.875" bestFit="1" customWidth="1"/>
  </cols>
  <sheetData>
    <row r="1" spans="2:69" ht="15" thickBot="1"/>
    <row r="2" spans="2:69" ht="21" thickBot="1">
      <c r="B2" s="44" t="s">
        <v>1481</v>
      </c>
      <c r="C2" s="45"/>
      <c r="D2" s="45"/>
      <c r="E2" s="46"/>
    </row>
    <row r="3" spans="2:69" ht="15" thickBot="1">
      <c r="H3" s="47" t="s">
        <v>1436</v>
      </c>
      <c r="I3" s="48"/>
      <c r="L3" s="47" t="s">
        <v>1437</v>
      </c>
      <c r="M3" s="48"/>
      <c r="P3" s="47" t="s">
        <v>1439</v>
      </c>
      <c r="Q3" s="48"/>
      <c r="T3" s="47" t="s">
        <v>1441</v>
      </c>
      <c r="U3" s="48"/>
      <c r="X3" s="47" t="s">
        <v>1443</v>
      </c>
      <c r="Y3" s="48"/>
      <c r="AB3" s="47" t="s">
        <v>1445</v>
      </c>
      <c r="AC3" s="48"/>
      <c r="AF3" s="47" t="s">
        <v>1447</v>
      </c>
      <c r="AG3" s="48"/>
      <c r="AL3" s="47" t="s">
        <v>1453</v>
      </c>
      <c r="AM3" s="48"/>
      <c r="AP3" s="47" t="s">
        <v>1455</v>
      </c>
      <c r="AQ3" s="48"/>
      <c r="AT3" s="47" t="s">
        <v>1458</v>
      </c>
      <c r="AU3" s="48"/>
      <c r="AX3" s="47" t="s">
        <v>1460</v>
      </c>
      <c r="AY3" s="48"/>
      <c r="BB3" s="47" t="s">
        <v>1462</v>
      </c>
      <c r="BC3" s="48"/>
    </row>
    <row r="4" spans="2:69" ht="18" thickBot="1">
      <c r="B4" s="39" t="s">
        <v>1468</v>
      </c>
      <c r="C4" s="40" t="s">
        <v>17</v>
      </c>
      <c r="D4" s="40" t="s">
        <v>723</v>
      </c>
      <c r="E4" s="41" t="s">
        <v>1480</v>
      </c>
      <c r="H4" s="49"/>
      <c r="I4" s="50"/>
      <c r="L4" s="49"/>
      <c r="M4" s="50"/>
      <c r="P4" s="49"/>
      <c r="Q4" s="50"/>
      <c r="T4" s="49"/>
      <c r="U4" s="50"/>
      <c r="X4" s="49"/>
      <c r="Y4" s="50"/>
      <c r="AB4" s="49"/>
      <c r="AC4" s="50"/>
      <c r="AF4" s="49"/>
      <c r="AG4" s="50"/>
      <c r="AL4" s="49"/>
      <c r="AM4" s="50"/>
      <c r="AP4" s="49"/>
      <c r="AQ4" s="50"/>
      <c r="AT4" s="49"/>
      <c r="AU4" s="50"/>
      <c r="AX4" s="49"/>
      <c r="AY4" s="50"/>
      <c r="BB4" s="49"/>
      <c r="BC4" s="50"/>
    </row>
    <row r="5" spans="2:69" ht="18" thickBot="1">
      <c r="B5" s="42" t="s">
        <v>1469</v>
      </c>
      <c r="C5" s="33">
        <v>693</v>
      </c>
      <c r="D5" s="33">
        <v>715</v>
      </c>
      <c r="E5" s="35">
        <v>1408</v>
      </c>
    </row>
    <row r="6" spans="2:69" ht="18" thickBot="1">
      <c r="B6" s="43" t="s">
        <v>1470</v>
      </c>
      <c r="C6" s="34">
        <v>63.64</v>
      </c>
      <c r="D6" s="34">
        <v>72.59</v>
      </c>
      <c r="E6" s="36">
        <v>68.180000000000007</v>
      </c>
      <c r="H6" t="s">
        <v>1433</v>
      </c>
      <c r="I6" s="6" t="s">
        <v>1435</v>
      </c>
      <c r="L6" t="s">
        <v>1433</v>
      </c>
      <c r="M6" s="6" t="s">
        <v>1438</v>
      </c>
      <c r="P6" t="s">
        <v>1433</v>
      </c>
      <c r="Q6" s="6" t="s">
        <v>1440</v>
      </c>
      <c r="T6" t="s">
        <v>1433</v>
      </c>
      <c r="U6" s="6" t="s">
        <v>1442</v>
      </c>
      <c r="X6" t="s">
        <v>1433</v>
      </c>
      <c r="Y6" s="6" t="s">
        <v>1444</v>
      </c>
      <c r="AB6" s="3" t="s">
        <v>1433</v>
      </c>
      <c r="AC6" s="6" t="s">
        <v>1446</v>
      </c>
      <c r="AF6" s="11" t="s">
        <v>1433</v>
      </c>
      <c r="AG6" s="12" t="s">
        <v>1452</v>
      </c>
      <c r="AL6" s="11" t="s">
        <v>1433</v>
      </c>
      <c r="AM6" s="12" t="s">
        <v>1454</v>
      </c>
      <c r="AP6" s="11" t="s">
        <v>1433</v>
      </c>
      <c r="AQ6" s="12" t="s">
        <v>1457</v>
      </c>
      <c r="AT6" s="11" t="s">
        <v>1433</v>
      </c>
      <c r="AU6" s="12" t="s">
        <v>1459</v>
      </c>
      <c r="AX6" s="27" t="s">
        <v>10</v>
      </c>
      <c r="AY6" s="27">
        <v>1</v>
      </c>
      <c r="BB6" s="51" t="s">
        <v>1465</v>
      </c>
      <c r="BC6" s="52"/>
      <c r="BH6" s="51" t="s">
        <v>1466</v>
      </c>
      <c r="BI6" s="53"/>
      <c r="BJ6" s="53"/>
      <c r="BK6" s="52"/>
      <c r="BM6" s="54" t="s">
        <v>1467</v>
      </c>
      <c r="BN6" s="55"/>
      <c r="BO6" s="55"/>
      <c r="BP6" s="55"/>
      <c r="BQ6" s="56"/>
    </row>
    <row r="7" spans="2:69" ht="17.25">
      <c r="B7" s="42" t="s">
        <v>1471</v>
      </c>
      <c r="C7" s="33">
        <v>25.11</v>
      </c>
      <c r="D7" s="33">
        <v>29.09</v>
      </c>
      <c r="E7" s="35">
        <v>27.13</v>
      </c>
      <c r="H7" s="7" t="s">
        <v>17</v>
      </c>
      <c r="I7" s="7">
        <v>693</v>
      </c>
      <c r="L7" s="5" t="s">
        <v>17</v>
      </c>
      <c r="M7" s="8">
        <v>0.63636363636363635</v>
      </c>
      <c r="P7" s="5" t="s">
        <v>17</v>
      </c>
      <c r="Q7" s="8">
        <v>0.25108225108225107</v>
      </c>
      <c r="T7" s="5" t="s">
        <v>17</v>
      </c>
      <c r="U7" s="8">
        <v>0.15584415584415584</v>
      </c>
      <c r="X7" s="5" t="s">
        <v>17</v>
      </c>
      <c r="Y7" s="8">
        <v>3.1746031746031744E-2</v>
      </c>
      <c r="AB7" s="5" t="s">
        <v>17</v>
      </c>
      <c r="AC7" s="37">
        <v>51.74932178932179</v>
      </c>
      <c r="AF7" s="13" t="s">
        <v>17</v>
      </c>
      <c r="AG7" s="14">
        <v>1628.4909090909093</v>
      </c>
      <c r="AL7" s="13" t="s">
        <v>17</v>
      </c>
      <c r="AM7" s="28">
        <v>0</v>
      </c>
      <c r="AP7" s="13" t="s">
        <v>17</v>
      </c>
      <c r="AQ7" s="28">
        <v>0.1471861471861472</v>
      </c>
      <c r="AT7" s="13" t="s">
        <v>17</v>
      </c>
      <c r="AU7" s="30">
        <v>57.026200873362491</v>
      </c>
      <c r="AX7" s="26" t="s">
        <v>1433</v>
      </c>
      <c r="AY7" s="26" t="s">
        <v>1461</v>
      </c>
    </row>
    <row r="8" spans="2:69" ht="17.25">
      <c r="B8" s="43" t="s">
        <v>1472</v>
      </c>
      <c r="C8" s="34">
        <v>15.58</v>
      </c>
      <c r="D8" s="34">
        <v>21.26</v>
      </c>
      <c r="E8" s="36">
        <v>18.47</v>
      </c>
      <c r="H8" s="7" t="s">
        <v>723</v>
      </c>
      <c r="I8" s="7">
        <v>715</v>
      </c>
      <c r="L8" s="5" t="s">
        <v>723</v>
      </c>
      <c r="M8" s="8">
        <v>0.72587412587412592</v>
      </c>
      <c r="P8" s="5" t="s">
        <v>723</v>
      </c>
      <c r="Q8" s="8">
        <v>0.29090909090909089</v>
      </c>
      <c r="T8" s="5" t="s">
        <v>723</v>
      </c>
      <c r="U8" s="8">
        <v>0.21258741258741259</v>
      </c>
      <c r="X8" s="5" t="s">
        <v>723</v>
      </c>
      <c r="Y8" s="8">
        <v>6.9930069930069935E-2</v>
      </c>
      <c r="AB8" s="5" t="s">
        <v>723</v>
      </c>
      <c r="AC8" s="37">
        <v>53.875118881118873</v>
      </c>
      <c r="AF8" s="13" t="s">
        <v>723</v>
      </c>
      <c r="AG8" s="14">
        <v>770.41419999999994</v>
      </c>
      <c r="AL8" s="13" t="s">
        <v>723</v>
      </c>
      <c r="AM8" s="28">
        <v>4.1958041958041958E-3</v>
      </c>
      <c r="AP8" s="13" t="s">
        <v>723</v>
      </c>
      <c r="AQ8" s="28">
        <v>0.24755244755244754</v>
      </c>
      <c r="AT8" s="13" t="s">
        <v>723</v>
      </c>
      <c r="AU8" s="30">
        <v>62.931966053748233</v>
      </c>
      <c r="AX8" s="14" t="s">
        <v>17</v>
      </c>
      <c r="AY8" s="14">
        <v>8.8636363636363633</v>
      </c>
      <c r="BB8" s="27" t="s">
        <v>1444</v>
      </c>
      <c r="BC8" s="27" t="s">
        <v>1464</v>
      </c>
      <c r="BD8" s="27"/>
      <c r="BE8" s="27"/>
      <c r="BH8" s="27" t="s">
        <v>1444</v>
      </c>
      <c r="BI8" s="27" t="s">
        <v>1464</v>
      </c>
      <c r="BJ8" s="27"/>
      <c r="BK8" s="27"/>
      <c r="BM8" s="26" t="s">
        <v>1444</v>
      </c>
      <c r="BN8" s="26" t="s">
        <v>1464</v>
      </c>
      <c r="BO8" s="26"/>
      <c r="BP8" s="26"/>
    </row>
    <row r="9" spans="2:69" ht="17.25">
      <c r="B9" s="42" t="s">
        <v>1473</v>
      </c>
      <c r="C9" s="33">
        <v>3.17</v>
      </c>
      <c r="D9" s="33">
        <v>6.99</v>
      </c>
      <c r="E9" s="35">
        <v>5.1100000000000003</v>
      </c>
      <c r="H9" s="4" t="s">
        <v>1434</v>
      </c>
      <c r="I9" s="6">
        <v>1408</v>
      </c>
      <c r="L9" s="4" t="s">
        <v>1434</v>
      </c>
      <c r="M9" s="9">
        <v>0.68181818181818177</v>
      </c>
      <c r="P9" s="4" t="s">
        <v>1434</v>
      </c>
      <c r="Q9" s="9">
        <v>0.27130681818181818</v>
      </c>
      <c r="T9" s="4" t="s">
        <v>1434</v>
      </c>
      <c r="U9" s="9">
        <v>0.18465909090909091</v>
      </c>
      <c r="X9" s="4" t="s">
        <v>1434</v>
      </c>
      <c r="Y9" s="9">
        <v>5.113636363636364E-2</v>
      </c>
      <c r="AB9" s="4" t="s">
        <v>1434</v>
      </c>
      <c r="AC9" s="38">
        <v>52.828828124999994</v>
      </c>
      <c r="AF9" s="15" t="s">
        <v>1434</v>
      </c>
      <c r="AG9" s="12">
        <v>2398.9051090909093</v>
      </c>
      <c r="AL9" s="15" t="s">
        <v>1434</v>
      </c>
      <c r="AM9" s="29">
        <v>2.130681818181818E-3</v>
      </c>
      <c r="AP9" s="15" t="s">
        <v>1434</v>
      </c>
      <c r="AQ9" s="29">
        <v>0.19815340909090909</v>
      </c>
      <c r="AT9" s="15" t="s">
        <v>1434</v>
      </c>
      <c r="AU9" s="31">
        <v>60.02144906743186</v>
      </c>
      <c r="AX9" s="14" t="s">
        <v>723</v>
      </c>
      <c r="AY9" s="14">
        <v>6.4</v>
      </c>
      <c r="BB9" s="26" t="s">
        <v>1433</v>
      </c>
      <c r="BC9" s="26" t="s">
        <v>17</v>
      </c>
      <c r="BD9" s="26" t="s">
        <v>723</v>
      </c>
      <c r="BE9" s="26" t="s">
        <v>1434</v>
      </c>
      <c r="BH9" s="26" t="s">
        <v>1433</v>
      </c>
      <c r="BI9" s="26" t="s">
        <v>17</v>
      </c>
      <c r="BJ9" s="26" t="s">
        <v>723</v>
      </c>
      <c r="BK9" s="26" t="s">
        <v>1434</v>
      </c>
      <c r="BM9" s="26" t="s">
        <v>1433</v>
      </c>
      <c r="BN9" s="26" t="s">
        <v>17</v>
      </c>
      <c r="BO9" s="26" t="s">
        <v>723</v>
      </c>
      <c r="BP9" s="26" t="s">
        <v>1434</v>
      </c>
    </row>
    <row r="10" spans="2:69" ht="17.25">
      <c r="B10" s="43" t="s">
        <v>1474</v>
      </c>
      <c r="C10" s="34">
        <v>51.7</v>
      </c>
      <c r="D10" s="34">
        <v>53.9</v>
      </c>
      <c r="E10" s="36">
        <v>52.8</v>
      </c>
      <c r="AX10" s="25" t="s">
        <v>1434</v>
      </c>
      <c r="AY10" s="25">
        <v>7.1527777777777777</v>
      </c>
      <c r="BB10" s="14" t="s">
        <v>19</v>
      </c>
      <c r="BC10" s="28">
        <v>4.4999999999999998E-2</v>
      </c>
      <c r="BD10" s="28">
        <v>6.5420560747663545E-2</v>
      </c>
      <c r="BE10" s="28">
        <v>5.5555555555555552E-2</v>
      </c>
      <c r="BH10" s="14" t="s">
        <v>28</v>
      </c>
      <c r="BI10" s="28">
        <v>2.5316455696202531E-2</v>
      </c>
      <c r="BJ10" s="28">
        <v>6.3953488372093026E-2</v>
      </c>
      <c r="BK10" s="28">
        <v>4.5454545454545456E-2</v>
      </c>
      <c r="BM10" s="14" t="s">
        <v>20</v>
      </c>
      <c r="BN10" s="28">
        <v>2.7027027027027029E-2</v>
      </c>
      <c r="BO10" s="28">
        <v>7.1428571428571425E-2</v>
      </c>
      <c r="BP10" s="28">
        <v>4.6153846153846156E-2</v>
      </c>
    </row>
    <row r="11" spans="2:69" ht="17.25">
      <c r="B11" s="42" t="s">
        <v>1475</v>
      </c>
      <c r="C11" s="33">
        <v>1628.4909090909093</v>
      </c>
      <c r="D11" s="34">
        <v>770.41419999999994</v>
      </c>
      <c r="E11" s="35">
        <v>2398.9</v>
      </c>
      <c r="BB11" s="14" t="s">
        <v>24</v>
      </c>
      <c r="BC11" s="28">
        <v>2.5700934579439252E-2</v>
      </c>
      <c r="BD11" s="28">
        <v>7.3394495412844041E-2</v>
      </c>
      <c r="BE11" s="28">
        <v>4.9768518518518517E-2</v>
      </c>
      <c r="BH11" s="14" t="s">
        <v>18</v>
      </c>
      <c r="BI11" s="28">
        <v>3.4482758620689655E-2</v>
      </c>
      <c r="BJ11" s="28">
        <v>8.8888888888888892E-2</v>
      </c>
      <c r="BK11" s="28">
        <v>6.0052219321148827E-2</v>
      </c>
      <c r="BM11" s="14" t="s">
        <v>25</v>
      </c>
      <c r="BN11" s="28">
        <v>2.032520325203252E-2</v>
      </c>
      <c r="BO11" s="28">
        <v>6.2240663900414939E-2</v>
      </c>
      <c r="BP11" s="28">
        <v>4.1067761806981518E-2</v>
      </c>
    </row>
    <row r="12" spans="2:69" ht="17.25">
      <c r="B12" s="43" t="s">
        <v>1476</v>
      </c>
      <c r="C12" s="34">
        <v>0</v>
      </c>
      <c r="D12" s="34">
        <v>0.42</v>
      </c>
      <c r="E12" s="36">
        <v>0.21</v>
      </c>
      <c r="BB12" s="14" t="s">
        <v>34</v>
      </c>
      <c r="BC12" s="28">
        <v>1.7857142857142856E-2</v>
      </c>
      <c r="BD12" s="28">
        <v>7.1428571428571425E-2</v>
      </c>
      <c r="BE12" s="28">
        <v>4.4642857142857144E-2</v>
      </c>
      <c r="BH12" s="14" t="s">
        <v>32</v>
      </c>
      <c r="BI12" s="28">
        <v>3.2608695652173912E-2</v>
      </c>
      <c r="BJ12" s="28">
        <v>7.6086956521739135E-2</v>
      </c>
      <c r="BK12" s="28">
        <v>5.434782608695652E-2</v>
      </c>
      <c r="BM12" s="14" t="s">
        <v>29</v>
      </c>
      <c r="BN12" s="28">
        <v>1.282051282051282E-2</v>
      </c>
      <c r="BO12" s="28">
        <v>6.25E-2</v>
      </c>
      <c r="BP12" s="28">
        <v>3.9156626506024098E-2</v>
      </c>
    </row>
    <row r="13" spans="2:69" ht="17.25">
      <c r="B13" s="42" t="s">
        <v>1477</v>
      </c>
      <c r="C13" s="33">
        <v>14.72</v>
      </c>
      <c r="D13" s="33">
        <v>24.76</v>
      </c>
      <c r="E13" s="35">
        <v>19.82</v>
      </c>
      <c r="BB13" s="14" t="s">
        <v>1463</v>
      </c>
      <c r="BC13" s="28">
        <v>0.1111111111111111</v>
      </c>
      <c r="BD13" s="28">
        <v>0</v>
      </c>
      <c r="BE13" s="28">
        <v>5.5555555555555552E-2</v>
      </c>
      <c r="BH13" s="14" t="s">
        <v>23</v>
      </c>
      <c r="BI13" s="28">
        <v>3.3783783783783786E-2</v>
      </c>
      <c r="BJ13" s="28">
        <v>5.027932960893855E-2</v>
      </c>
      <c r="BK13" s="28">
        <v>4.2813455657492352E-2</v>
      </c>
      <c r="BM13" s="14" t="s">
        <v>39</v>
      </c>
      <c r="BN13" s="28">
        <v>2.4691358024691357E-2</v>
      </c>
      <c r="BO13" s="28">
        <v>0.10989010989010989</v>
      </c>
      <c r="BP13" s="28">
        <v>6.9767441860465115E-2</v>
      </c>
    </row>
    <row r="14" spans="2:69" ht="17.25">
      <c r="B14" s="43" t="s">
        <v>1478</v>
      </c>
      <c r="C14" s="34">
        <v>57.03</v>
      </c>
      <c r="D14" s="34">
        <v>62.93</v>
      </c>
      <c r="E14" s="36">
        <v>60.02</v>
      </c>
      <c r="BB14" s="26" t="s">
        <v>1434</v>
      </c>
      <c r="BC14" s="32">
        <v>3.1746031746031744E-2</v>
      </c>
      <c r="BD14" s="32">
        <v>6.9930069930069935E-2</v>
      </c>
      <c r="BE14" s="32">
        <v>5.113636363636364E-2</v>
      </c>
      <c r="BH14" s="26" t="s">
        <v>1434</v>
      </c>
      <c r="BI14" s="32">
        <v>3.1746031746031744E-2</v>
      </c>
      <c r="BJ14" s="32">
        <v>6.9930069930069935E-2</v>
      </c>
      <c r="BK14" s="32">
        <v>5.113636363636364E-2</v>
      </c>
      <c r="BM14" s="14" t="s">
        <v>41</v>
      </c>
      <c r="BN14" s="28">
        <v>7.6923076923076927E-2</v>
      </c>
      <c r="BO14" s="28">
        <v>6.0150375939849621E-2</v>
      </c>
      <c r="BP14" s="28">
        <v>6.8441064638783272E-2</v>
      </c>
    </row>
    <row r="15" spans="2:69" ht="17.25">
      <c r="B15" s="42" t="s">
        <v>1479</v>
      </c>
      <c r="C15" s="33">
        <v>8.86</v>
      </c>
      <c r="D15" s="33">
        <v>6.4</v>
      </c>
      <c r="E15" s="35">
        <v>7.15</v>
      </c>
      <c r="BM15" s="14" t="s">
        <v>1463</v>
      </c>
      <c r="BN15" s="28">
        <v>0.16666666666666666</v>
      </c>
      <c r="BO15" s="28">
        <v>0.1111111111111111</v>
      </c>
      <c r="BP15" s="28">
        <v>0.125</v>
      </c>
    </row>
    <row r="16" spans="2:69" ht="17.25">
      <c r="B16" s="43" t="s">
        <v>1482</v>
      </c>
      <c r="C16" s="34">
        <v>3.17</v>
      </c>
      <c r="D16" s="34">
        <v>6.99</v>
      </c>
      <c r="E16" s="36">
        <v>5.1100000000000003</v>
      </c>
      <c r="BM16" s="26" t="s">
        <v>1434</v>
      </c>
      <c r="BN16" s="32">
        <v>3.1746031746031744E-2</v>
      </c>
      <c r="BO16" s="32">
        <v>6.9930069930069935E-2</v>
      </c>
      <c r="BP16" s="32">
        <v>5.113636363636364E-2</v>
      </c>
    </row>
    <row r="17" spans="2:35" ht="17.25">
      <c r="B17" s="42" t="s">
        <v>1483</v>
      </c>
      <c r="C17" s="34">
        <v>3.17</v>
      </c>
      <c r="D17" s="34">
        <v>6.99</v>
      </c>
      <c r="E17" s="36">
        <v>5.1100000000000003</v>
      </c>
    </row>
    <row r="18" spans="2:35" ht="18" thickBot="1">
      <c r="B18" s="57" t="s">
        <v>1484</v>
      </c>
      <c r="C18" s="58">
        <v>3.17</v>
      </c>
      <c r="D18" s="58">
        <v>6.99</v>
      </c>
      <c r="E18" s="59">
        <v>5.1100000000000003</v>
      </c>
    </row>
    <row r="29" spans="2:35" ht="15" thickBot="1"/>
    <row r="30" spans="2:35" ht="30">
      <c r="AF30" s="22" t="s">
        <v>1448</v>
      </c>
      <c r="AG30" s="23" t="s">
        <v>1449</v>
      </c>
      <c r="AH30" s="23" t="s">
        <v>1450</v>
      </c>
      <c r="AI30" s="24" t="s">
        <v>1451</v>
      </c>
    </row>
    <row r="31" spans="2:35">
      <c r="AF31" s="17" t="s">
        <v>17</v>
      </c>
      <c r="AG31" s="16">
        <v>35826.800000000003</v>
      </c>
      <c r="AH31" s="16">
        <v>22</v>
      </c>
      <c r="AI31" s="18">
        <f>AG31/AH31</f>
        <v>1628.4909090909093</v>
      </c>
    </row>
    <row r="32" spans="2:35" ht="15" thickBot="1">
      <c r="AF32" s="19" t="s">
        <v>723</v>
      </c>
      <c r="AG32" s="20">
        <v>38520.71</v>
      </c>
      <c r="AH32" s="20">
        <v>50</v>
      </c>
      <c r="AI32" s="21">
        <f>AG32/AH32</f>
        <v>770.41419999999994</v>
      </c>
    </row>
  </sheetData>
  <mergeCells count="16">
    <mergeCell ref="BB6:BC6"/>
    <mergeCell ref="BH6:BK6"/>
    <mergeCell ref="BM6:BQ6"/>
    <mergeCell ref="AF3:AG4"/>
    <mergeCell ref="AL3:AM4"/>
    <mergeCell ref="AP3:AQ4"/>
    <mergeCell ref="AT3:AU4"/>
    <mergeCell ref="AX3:AY4"/>
    <mergeCell ref="BB3:BC4"/>
    <mergeCell ref="B2:E2"/>
    <mergeCell ref="AB3:AC4"/>
    <mergeCell ref="H3:I4"/>
    <mergeCell ref="L3:M4"/>
    <mergeCell ref="P3:Q4"/>
    <mergeCell ref="T3:U4"/>
    <mergeCell ref="X3:Y4"/>
  </mergeCell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9"/>
  <sheetViews>
    <sheetView workbookViewId="0">
      <selection sqref="A1:R1409"/>
    </sheetView>
  </sheetViews>
  <sheetFormatPr defaultRowHeight="14.25"/>
  <cols>
    <col min="1" max="2" width="16" customWidth="1"/>
    <col min="3" max="3" width="17.375" bestFit="1" customWidth="1"/>
    <col min="4" max="16" width="16" customWidth="1"/>
    <col min="17" max="17" width="35.875" bestFit="1" customWidth="1"/>
    <col min="18" max="18" width="19.5" style="10" bestFit="1" customWidth="1"/>
  </cols>
  <sheetData>
    <row r="1" spans="1:1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1447</v>
      </c>
      <c r="R1" s="1" t="s">
        <v>1456</v>
      </c>
    </row>
    <row r="2" spans="1:18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10">
        <f>IF(M2&gt;0,1,0)</f>
        <v>0</v>
      </c>
    </row>
    <row r="3" spans="1:18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10">
        <f t="shared" ref="R3:R66" si="0">IF(M3&gt;0,1,0)</f>
        <v>0</v>
      </c>
    </row>
    <row r="4" spans="1:18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10">
        <f t="shared" si="0"/>
        <v>1</v>
      </c>
    </row>
    <row r="5" spans="1:18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10">
        <f t="shared" si="0"/>
        <v>0</v>
      </c>
    </row>
    <row r="6" spans="1:18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10">
        <f t="shared" si="0"/>
        <v>0</v>
      </c>
    </row>
    <row r="7" spans="1:18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10">
        <f t="shared" si="0"/>
        <v>0</v>
      </c>
    </row>
    <row r="8" spans="1:18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10">
        <f t="shared" si="0"/>
        <v>0</v>
      </c>
    </row>
    <row r="9" spans="1:18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10">
        <f t="shared" si="0"/>
        <v>0</v>
      </c>
    </row>
    <row r="10" spans="1:18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 s="10">
        <f t="shared" si="0"/>
        <v>0</v>
      </c>
    </row>
    <row r="11" spans="1:18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 s="10">
        <f t="shared" si="0"/>
        <v>0</v>
      </c>
    </row>
    <row r="12" spans="1:18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 s="10">
        <f t="shared" si="0"/>
        <v>0</v>
      </c>
    </row>
    <row r="13" spans="1:18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 s="10">
        <f t="shared" si="0"/>
        <v>1</v>
      </c>
    </row>
    <row r="14" spans="1:18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 s="10">
        <f t="shared" si="0"/>
        <v>0</v>
      </c>
    </row>
    <row r="15" spans="1:18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 s="10">
        <f t="shared" si="0"/>
        <v>0</v>
      </c>
    </row>
    <row r="16" spans="1:18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R16" s="10">
        <f t="shared" si="0"/>
        <v>0</v>
      </c>
    </row>
    <row r="17" spans="1:18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R17" s="10">
        <f t="shared" si="0"/>
        <v>0</v>
      </c>
    </row>
    <row r="18" spans="1:18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R18" s="10">
        <f t="shared" si="0"/>
        <v>0</v>
      </c>
    </row>
    <row r="19" spans="1:18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R19" s="10">
        <f t="shared" si="0"/>
        <v>0</v>
      </c>
    </row>
    <row r="20" spans="1:18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R20" s="10">
        <f t="shared" si="0"/>
        <v>0</v>
      </c>
    </row>
    <row r="21" spans="1:18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R21" s="10">
        <f t="shared" si="0"/>
        <v>1</v>
      </c>
    </row>
    <row r="22" spans="1:18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R22" s="10">
        <f t="shared" si="0"/>
        <v>0</v>
      </c>
    </row>
    <row r="23" spans="1:18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R23" s="10">
        <f t="shared" si="0"/>
        <v>0</v>
      </c>
    </row>
    <row r="24" spans="1:18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R24" s="10">
        <f t="shared" si="0"/>
        <v>0</v>
      </c>
    </row>
    <row r="25" spans="1:18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R25" s="10">
        <f t="shared" si="0"/>
        <v>0</v>
      </c>
    </row>
    <row r="26" spans="1:18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R26" s="10">
        <f t="shared" si="0"/>
        <v>1</v>
      </c>
    </row>
    <row r="27" spans="1:18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R27" s="10">
        <f t="shared" si="0"/>
        <v>0</v>
      </c>
    </row>
    <row r="28" spans="1:18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R28" s="10">
        <f t="shared" si="0"/>
        <v>0</v>
      </c>
    </row>
    <row r="29" spans="1:18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R29" s="10">
        <f t="shared" si="0"/>
        <v>0</v>
      </c>
    </row>
    <row r="30" spans="1:18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R30" s="10">
        <f t="shared" si="0"/>
        <v>0</v>
      </c>
    </row>
    <row r="31" spans="1:18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R31" s="10">
        <f t="shared" si="0"/>
        <v>0</v>
      </c>
    </row>
    <row r="32" spans="1:18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R32" s="10">
        <f t="shared" si="0"/>
        <v>0</v>
      </c>
    </row>
    <row r="33" spans="1:18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R33" s="10">
        <f t="shared" si="0"/>
        <v>0</v>
      </c>
    </row>
    <row r="34" spans="1:18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R34" s="10">
        <f t="shared" si="0"/>
        <v>0</v>
      </c>
    </row>
    <row r="35" spans="1:18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R35" s="10">
        <f t="shared" si="0"/>
        <v>0</v>
      </c>
    </row>
    <row r="36" spans="1:18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R36" s="10">
        <f t="shared" si="0"/>
        <v>0</v>
      </c>
    </row>
    <row r="37" spans="1:18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R37" s="10">
        <f t="shared" si="0"/>
        <v>0</v>
      </c>
    </row>
    <row r="38" spans="1:18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R38" s="10">
        <f t="shared" si="0"/>
        <v>1</v>
      </c>
    </row>
    <row r="39" spans="1:18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R39" s="10">
        <f t="shared" si="0"/>
        <v>1</v>
      </c>
    </row>
    <row r="40" spans="1:18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R40" s="10">
        <f t="shared" si="0"/>
        <v>0</v>
      </c>
    </row>
    <row r="41" spans="1:18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R41" s="10">
        <f t="shared" si="0"/>
        <v>0</v>
      </c>
    </row>
    <row r="42" spans="1:18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R42" s="10">
        <f t="shared" si="0"/>
        <v>0</v>
      </c>
    </row>
    <row r="43" spans="1:18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R43" s="10">
        <f t="shared" si="0"/>
        <v>0</v>
      </c>
    </row>
    <row r="44" spans="1:18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R44" s="10">
        <f t="shared" si="0"/>
        <v>0</v>
      </c>
    </row>
    <row r="45" spans="1:18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R45" s="10">
        <f t="shared" si="0"/>
        <v>0</v>
      </c>
    </row>
    <row r="46" spans="1:18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R46" s="10">
        <f t="shared" si="0"/>
        <v>1</v>
      </c>
    </row>
    <row r="47" spans="1:18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R47" s="10">
        <f t="shared" si="0"/>
        <v>0</v>
      </c>
    </row>
    <row r="48" spans="1:18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R48" s="10">
        <f t="shared" si="0"/>
        <v>0</v>
      </c>
    </row>
    <row r="49" spans="1:18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R49" s="10">
        <f t="shared" si="0"/>
        <v>0</v>
      </c>
    </row>
    <row r="50" spans="1:18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R50" s="10">
        <f t="shared" si="0"/>
        <v>0</v>
      </c>
    </row>
    <row r="51" spans="1:18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R51" s="10">
        <f t="shared" si="0"/>
        <v>0</v>
      </c>
    </row>
    <row r="52" spans="1:18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R52" s="10">
        <f t="shared" si="0"/>
        <v>0</v>
      </c>
    </row>
    <row r="53" spans="1:18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R53" s="10">
        <f t="shared" si="0"/>
        <v>0</v>
      </c>
    </row>
    <row r="54" spans="1:18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R54" s="10">
        <f t="shared" si="0"/>
        <v>0</v>
      </c>
    </row>
    <row r="55" spans="1:18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R55" s="10">
        <f t="shared" si="0"/>
        <v>0</v>
      </c>
    </row>
    <row r="56" spans="1:18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R56" s="10">
        <f t="shared" si="0"/>
        <v>0</v>
      </c>
    </row>
    <row r="57" spans="1:18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R57" s="10">
        <f t="shared" si="0"/>
        <v>1</v>
      </c>
    </row>
    <row r="58" spans="1:18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R58" s="10">
        <f t="shared" si="0"/>
        <v>0</v>
      </c>
    </row>
    <row r="59" spans="1:18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R59" s="10">
        <f t="shared" si="0"/>
        <v>0</v>
      </c>
    </row>
    <row r="60" spans="1:18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R60" s="10">
        <f t="shared" si="0"/>
        <v>1</v>
      </c>
    </row>
    <row r="61" spans="1:18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R61" s="10">
        <f t="shared" si="0"/>
        <v>0</v>
      </c>
    </row>
    <row r="62" spans="1:18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R62" s="10">
        <f t="shared" si="0"/>
        <v>0</v>
      </c>
    </row>
    <row r="63" spans="1:18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R63" s="10">
        <f t="shared" si="0"/>
        <v>0</v>
      </c>
    </row>
    <row r="64" spans="1:18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R64" s="10">
        <f t="shared" si="0"/>
        <v>0</v>
      </c>
    </row>
    <row r="65" spans="1:18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R65" s="10">
        <f t="shared" si="0"/>
        <v>0</v>
      </c>
    </row>
    <row r="66" spans="1:18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R66" s="10">
        <f t="shared" si="0"/>
        <v>0</v>
      </c>
    </row>
    <row r="67" spans="1:18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R67" s="10">
        <f t="shared" ref="R67:R130" si="1">IF(M67&gt;0,1,0)</f>
        <v>0</v>
      </c>
    </row>
    <row r="68" spans="1:18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R68" s="10">
        <f t="shared" si="1"/>
        <v>1</v>
      </c>
    </row>
    <row r="69" spans="1:18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R69" s="10">
        <f t="shared" si="1"/>
        <v>0</v>
      </c>
    </row>
    <row r="70" spans="1:18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R70" s="10">
        <f t="shared" si="1"/>
        <v>0</v>
      </c>
    </row>
    <row r="71" spans="1:18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R71" s="10">
        <f t="shared" si="1"/>
        <v>0</v>
      </c>
    </row>
    <row r="72" spans="1:18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R72" s="10">
        <f t="shared" si="1"/>
        <v>0</v>
      </c>
    </row>
    <row r="73" spans="1:18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R73" s="10">
        <f t="shared" si="1"/>
        <v>0</v>
      </c>
    </row>
    <row r="74" spans="1:18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R74" s="10">
        <f t="shared" si="1"/>
        <v>0</v>
      </c>
    </row>
    <row r="75" spans="1:18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R75" s="10">
        <f t="shared" si="1"/>
        <v>0</v>
      </c>
    </row>
    <row r="76" spans="1:18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R76" s="10">
        <f t="shared" si="1"/>
        <v>0</v>
      </c>
    </row>
    <row r="77" spans="1:18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R77" s="10">
        <f t="shared" si="1"/>
        <v>0</v>
      </c>
    </row>
    <row r="78" spans="1:18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R78" s="10">
        <f t="shared" si="1"/>
        <v>1</v>
      </c>
    </row>
    <row r="79" spans="1:18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R79" s="10">
        <f t="shared" si="1"/>
        <v>1</v>
      </c>
    </row>
    <row r="80" spans="1:18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R80" s="10">
        <f t="shared" si="1"/>
        <v>0</v>
      </c>
    </row>
    <row r="81" spans="1:18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R81" s="10">
        <f t="shared" si="1"/>
        <v>0</v>
      </c>
    </row>
    <row r="82" spans="1:18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R82" s="10">
        <f t="shared" si="1"/>
        <v>0</v>
      </c>
    </row>
    <row r="83" spans="1:18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R83" s="10">
        <f t="shared" si="1"/>
        <v>0</v>
      </c>
    </row>
    <row r="84" spans="1:18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R84" s="10">
        <f t="shared" si="1"/>
        <v>0</v>
      </c>
    </row>
    <row r="85" spans="1:18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R85" s="10">
        <f t="shared" si="1"/>
        <v>0</v>
      </c>
    </row>
    <row r="86" spans="1:18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R86" s="10">
        <f t="shared" si="1"/>
        <v>0</v>
      </c>
    </row>
    <row r="87" spans="1:18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R87" s="10">
        <f t="shared" si="1"/>
        <v>0</v>
      </c>
    </row>
    <row r="88" spans="1:18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R88" s="10">
        <f t="shared" si="1"/>
        <v>0</v>
      </c>
    </row>
    <row r="89" spans="1:18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R89" s="10">
        <f t="shared" si="1"/>
        <v>0</v>
      </c>
    </row>
    <row r="90" spans="1:18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R90" s="10">
        <f t="shared" si="1"/>
        <v>0</v>
      </c>
    </row>
    <row r="91" spans="1:18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R91" s="10">
        <f t="shared" si="1"/>
        <v>0</v>
      </c>
    </row>
    <row r="92" spans="1:18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R92" s="10">
        <f t="shared" si="1"/>
        <v>0</v>
      </c>
    </row>
    <row r="93" spans="1:18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R93" s="10">
        <f t="shared" si="1"/>
        <v>0</v>
      </c>
    </row>
    <row r="94" spans="1:18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R94" s="10">
        <f t="shared" si="1"/>
        <v>0</v>
      </c>
    </row>
    <row r="95" spans="1:18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R95" s="10">
        <f t="shared" si="1"/>
        <v>1</v>
      </c>
    </row>
    <row r="96" spans="1:18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R96" s="10">
        <f t="shared" si="1"/>
        <v>0</v>
      </c>
    </row>
    <row r="97" spans="1:18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R97" s="10">
        <f t="shared" si="1"/>
        <v>0</v>
      </c>
    </row>
    <row r="98" spans="1:18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R98" s="10">
        <f t="shared" si="1"/>
        <v>0</v>
      </c>
    </row>
    <row r="99" spans="1:18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R99" s="10">
        <f t="shared" si="1"/>
        <v>0</v>
      </c>
    </row>
    <row r="100" spans="1:18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R100" s="10">
        <f t="shared" si="1"/>
        <v>0</v>
      </c>
    </row>
    <row r="101" spans="1:18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R101" s="10">
        <f t="shared" si="1"/>
        <v>0</v>
      </c>
    </row>
    <row r="102" spans="1:18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R102" s="10">
        <f t="shared" si="1"/>
        <v>0</v>
      </c>
    </row>
    <row r="103" spans="1:18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R103" s="10">
        <f t="shared" si="1"/>
        <v>0</v>
      </c>
    </row>
    <row r="104" spans="1:18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R104" s="10">
        <f t="shared" si="1"/>
        <v>0</v>
      </c>
    </row>
    <row r="105" spans="1:18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R105" s="10">
        <f t="shared" si="1"/>
        <v>1</v>
      </c>
    </row>
    <row r="106" spans="1:18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R106" s="10">
        <f t="shared" si="1"/>
        <v>0</v>
      </c>
    </row>
    <row r="107" spans="1:18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R107" s="10">
        <f t="shared" si="1"/>
        <v>0</v>
      </c>
    </row>
    <row r="108" spans="1:18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R108" s="10">
        <f t="shared" si="1"/>
        <v>1</v>
      </c>
    </row>
    <row r="109" spans="1:18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R109" s="10">
        <f t="shared" si="1"/>
        <v>0</v>
      </c>
    </row>
    <row r="110" spans="1:18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R110" s="10">
        <f t="shared" si="1"/>
        <v>0</v>
      </c>
    </row>
    <row r="111" spans="1:18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R111" s="10">
        <f t="shared" si="1"/>
        <v>1</v>
      </c>
    </row>
    <row r="112" spans="1:18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R112" s="10">
        <f t="shared" si="1"/>
        <v>0</v>
      </c>
    </row>
    <row r="113" spans="1:18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R113" s="10">
        <f t="shared" si="1"/>
        <v>0</v>
      </c>
    </row>
    <row r="114" spans="1:18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R114" s="10">
        <f t="shared" si="1"/>
        <v>0</v>
      </c>
    </row>
    <row r="115" spans="1:18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R115" s="10">
        <f t="shared" si="1"/>
        <v>0</v>
      </c>
    </row>
    <row r="116" spans="1:18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R116" s="10">
        <f t="shared" si="1"/>
        <v>0</v>
      </c>
    </row>
    <row r="117" spans="1:18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R117" s="10">
        <f t="shared" si="1"/>
        <v>0</v>
      </c>
    </row>
    <row r="118" spans="1:18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R118" s="10">
        <f t="shared" si="1"/>
        <v>0</v>
      </c>
    </row>
    <row r="119" spans="1:18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R119" s="10">
        <f t="shared" si="1"/>
        <v>0</v>
      </c>
    </row>
    <row r="120" spans="1:18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R120" s="10">
        <f t="shared" si="1"/>
        <v>0</v>
      </c>
    </row>
    <row r="121" spans="1:18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R121" s="10">
        <f t="shared" si="1"/>
        <v>0</v>
      </c>
    </row>
    <row r="122" spans="1:18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R122" s="10">
        <f t="shared" si="1"/>
        <v>0</v>
      </c>
    </row>
    <row r="123" spans="1:18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R123" s="10">
        <f t="shared" si="1"/>
        <v>0</v>
      </c>
    </row>
    <row r="124" spans="1:18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R124" s="10">
        <f t="shared" si="1"/>
        <v>0</v>
      </c>
    </row>
    <row r="125" spans="1:18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R125" s="10">
        <f t="shared" si="1"/>
        <v>0</v>
      </c>
    </row>
    <row r="126" spans="1:18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R126" s="10">
        <f t="shared" si="1"/>
        <v>0</v>
      </c>
    </row>
    <row r="127" spans="1:18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R127" s="10">
        <f t="shared" si="1"/>
        <v>0</v>
      </c>
    </row>
    <row r="128" spans="1:18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R128" s="10">
        <f t="shared" si="1"/>
        <v>0</v>
      </c>
    </row>
    <row r="129" spans="1:18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R129" s="10">
        <f t="shared" si="1"/>
        <v>0</v>
      </c>
    </row>
    <row r="130" spans="1:18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R130" s="10">
        <f t="shared" si="1"/>
        <v>0</v>
      </c>
    </row>
    <row r="131" spans="1:18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R131" s="10">
        <f t="shared" ref="R131:R194" si="2">IF(M131&gt;0,1,0)</f>
        <v>1</v>
      </c>
    </row>
    <row r="132" spans="1:18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R132" s="10">
        <f t="shared" si="2"/>
        <v>0</v>
      </c>
    </row>
    <row r="133" spans="1:18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R133" s="10">
        <f t="shared" si="2"/>
        <v>0</v>
      </c>
    </row>
    <row r="134" spans="1:18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R134" s="10">
        <f t="shared" si="2"/>
        <v>0</v>
      </c>
    </row>
    <row r="135" spans="1:18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R135" s="10">
        <f t="shared" si="2"/>
        <v>0</v>
      </c>
    </row>
    <row r="136" spans="1:18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R136" s="10">
        <f t="shared" si="2"/>
        <v>0</v>
      </c>
    </row>
    <row r="137" spans="1:18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R137" s="10">
        <f t="shared" si="2"/>
        <v>0</v>
      </c>
    </row>
    <row r="138" spans="1:18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R138" s="10">
        <f t="shared" si="2"/>
        <v>1</v>
      </c>
    </row>
    <row r="139" spans="1:18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R139" s="10">
        <f t="shared" si="2"/>
        <v>0</v>
      </c>
    </row>
    <row r="140" spans="1:18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R140" s="10">
        <f t="shared" si="2"/>
        <v>0</v>
      </c>
    </row>
    <row r="141" spans="1:18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R141" s="10">
        <f t="shared" si="2"/>
        <v>0</v>
      </c>
    </row>
    <row r="142" spans="1:18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R142" s="10">
        <f t="shared" si="2"/>
        <v>0</v>
      </c>
    </row>
    <row r="143" spans="1:18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R143" s="10">
        <f t="shared" si="2"/>
        <v>0</v>
      </c>
    </row>
    <row r="144" spans="1:18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R144" s="10">
        <f t="shared" si="2"/>
        <v>0</v>
      </c>
    </row>
    <row r="145" spans="1:18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R145" s="10">
        <f t="shared" si="2"/>
        <v>0</v>
      </c>
    </row>
    <row r="146" spans="1:18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R146" s="10">
        <f t="shared" si="2"/>
        <v>1</v>
      </c>
    </row>
    <row r="147" spans="1:18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R147" s="10">
        <f t="shared" si="2"/>
        <v>0</v>
      </c>
    </row>
    <row r="148" spans="1:18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R148" s="10">
        <f t="shared" si="2"/>
        <v>0</v>
      </c>
    </row>
    <row r="149" spans="1:18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R149" s="10">
        <f t="shared" si="2"/>
        <v>0</v>
      </c>
    </row>
    <row r="150" spans="1:18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R150" s="10">
        <f t="shared" si="2"/>
        <v>0</v>
      </c>
    </row>
    <row r="151" spans="1:18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R151" s="10">
        <f t="shared" si="2"/>
        <v>1</v>
      </c>
    </row>
    <row r="152" spans="1:18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R152" s="10">
        <f t="shared" si="2"/>
        <v>0</v>
      </c>
    </row>
    <row r="153" spans="1:18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R153" s="10">
        <f t="shared" si="2"/>
        <v>0</v>
      </c>
    </row>
    <row r="154" spans="1:18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R154" s="10">
        <f t="shared" si="2"/>
        <v>0</v>
      </c>
    </row>
    <row r="155" spans="1:18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R155" s="10">
        <f t="shared" si="2"/>
        <v>0</v>
      </c>
    </row>
    <row r="156" spans="1:18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R156" s="10">
        <f t="shared" si="2"/>
        <v>0</v>
      </c>
    </row>
    <row r="157" spans="1:18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R157" s="10">
        <f t="shared" si="2"/>
        <v>0</v>
      </c>
    </row>
    <row r="158" spans="1:18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R158" s="10">
        <f t="shared" si="2"/>
        <v>0</v>
      </c>
    </row>
    <row r="159" spans="1:18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R159" s="10">
        <f t="shared" si="2"/>
        <v>0</v>
      </c>
    </row>
    <row r="160" spans="1:18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R160" s="10">
        <f t="shared" si="2"/>
        <v>1</v>
      </c>
    </row>
    <row r="161" spans="1:18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R161" s="10">
        <f t="shared" si="2"/>
        <v>0</v>
      </c>
    </row>
    <row r="162" spans="1:18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R162" s="10">
        <f t="shared" si="2"/>
        <v>0</v>
      </c>
    </row>
    <row r="163" spans="1:18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R163" s="10">
        <f t="shared" si="2"/>
        <v>0</v>
      </c>
    </row>
    <row r="164" spans="1:18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R164" s="10">
        <f t="shared" si="2"/>
        <v>1</v>
      </c>
    </row>
    <row r="165" spans="1:18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R165" s="10">
        <f t="shared" si="2"/>
        <v>0</v>
      </c>
    </row>
    <row r="166" spans="1:18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R166" s="10">
        <f t="shared" si="2"/>
        <v>0</v>
      </c>
    </row>
    <row r="167" spans="1:18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R167" s="10">
        <f t="shared" si="2"/>
        <v>1</v>
      </c>
    </row>
    <row r="168" spans="1:18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R168" s="10">
        <f t="shared" si="2"/>
        <v>0</v>
      </c>
    </row>
    <row r="169" spans="1:18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R169" s="10">
        <f t="shared" si="2"/>
        <v>1</v>
      </c>
    </row>
    <row r="170" spans="1:18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R170" s="10">
        <f t="shared" si="2"/>
        <v>0</v>
      </c>
    </row>
    <row r="171" spans="1:18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R171" s="10">
        <f t="shared" si="2"/>
        <v>0</v>
      </c>
    </row>
    <row r="172" spans="1:18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R172" s="10">
        <f t="shared" si="2"/>
        <v>0</v>
      </c>
    </row>
    <row r="173" spans="1:18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R173" s="10">
        <f t="shared" si="2"/>
        <v>0</v>
      </c>
    </row>
    <row r="174" spans="1:18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R174" s="10">
        <f t="shared" si="2"/>
        <v>1</v>
      </c>
    </row>
    <row r="175" spans="1:18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R175" s="10">
        <f t="shared" si="2"/>
        <v>1</v>
      </c>
    </row>
    <row r="176" spans="1:18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R176" s="10">
        <f t="shared" si="2"/>
        <v>0</v>
      </c>
    </row>
    <row r="177" spans="1:18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R177" s="10">
        <f t="shared" si="2"/>
        <v>0</v>
      </c>
    </row>
    <row r="178" spans="1:18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R178" s="10">
        <f t="shared" si="2"/>
        <v>0</v>
      </c>
    </row>
    <row r="179" spans="1:18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R179" s="10">
        <f t="shared" si="2"/>
        <v>0</v>
      </c>
    </row>
    <row r="180" spans="1:18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R180" s="10">
        <f t="shared" si="2"/>
        <v>0</v>
      </c>
    </row>
    <row r="181" spans="1:18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R181" s="10">
        <f t="shared" si="2"/>
        <v>0</v>
      </c>
    </row>
    <row r="182" spans="1:18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R182" s="10">
        <f t="shared" si="2"/>
        <v>0</v>
      </c>
    </row>
    <row r="183" spans="1:18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R183" s="10">
        <f t="shared" si="2"/>
        <v>0</v>
      </c>
    </row>
    <row r="184" spans="1:18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R184" s="10">
        <f t="shared" si="2"/>
        <v>0</v>
      </c>
    </row>
    <row r="185" spans="1:18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R185" s="10">
        <f t="shared" si="2"/>
        <v>0</v>
      </c>
    </row>
    <row r="186" spans="1:18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R186" s="10">
        <f t="shared" si="2"/>
        <v>0</v>
      </c>
    </row>
    <row r="187" spans="1:18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R187" s="10">
        <f t="shared" si="2"/>
        <v>0</v>
      </c>
    </row>
    <row r="188" spans="1:18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R188" s="10">
        <f t="shared" si="2"/>
        <v>0</v>
      </c>
    </row>
    <row r="189" spans="1:18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R189" s="10">
        <f t="shared" si="2"/>
        <v>0</v>
      </c>
    </row>
    <row r="190" spans="1:18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R190" s="10">
        <f t="shared" si="2"/>
        <v>0</v>
      </c>
    </row>
    <row r="191" spans="1:18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R191" s="10">
        <f t="shared" si="2"/>
        <v>0</v>
      </c>
    </row>
    <row r="192" spans="1:18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R192" s="10">
        <f t="shared" si="2"/>
        <v>0</v>
      </c>
    </row>
    <row r="193" spans="1:18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R193" s="10">
        <f t="shared" si="2"/>
        <v>0</v>
      </c>
    </row>
    <row r="194" spans="1:18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R194" s="10">
        <f t="shared" si="2"/>
        <v>0</v>
      </c>
    </row>
    <row r="195" spans="1:18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R195" s="10">
        <f t="shared" ref="R195:R258" si="3">IF(M195&gt;0,1,0)</f>
        <v>0</v>
      </c>
    </row>
    <row r="196" spans="1:18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R196" s="10">
        <f t="shared" si="3"/>
        <v>0</v>
      </c>
    </row>
    <row r="197" spans="1:18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R197" s="10">
        <f t="shared" si="3"/>
        <v>0</v>
      </c>
    </row>
    <row r="198" spans="1:18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R198" s="10">
        <f t="shared" si="3"/>
        <v>1</v>
      </c>
    </row>
    <row r="199" spans="1:18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R199" s="10">
        <f t="shared" si="3"/>
        <v>0</v>
      </c>
    </row>
    <row r="200" spans="1:18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R200" s="10">
        <f t="shared" si="3"/>
        <v>0</v>
      </c>
    </row>
    <row r="201" spans="1:18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R201" s="10">
        <f t="shared" si="3"/>
        <v>0</v>
      </c>
    </row>
    <row r="202" spans="1:18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R202" s="10">
        <f t="shared" si="3"/>
        <v>0</v>
      </c>
    </row>
    <row r="203" spans="1:18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R203" s="10">
        <f t="shared" si="3"/>
        <v>0</v>
      </c>
    </row>
    <row r="204" spans="1:18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R204" s="10">
        <f t="shared" si="3"/>
        <v>0</v>
      </c>
    </row>
    <row r="205" spans="1:18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R205" s="10">
        <f t="shared" si="3"/>
        <v>0</v>
      </c>
    </row>
    <row r="206" spans="1:18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R206" s="10">
        <f t="shared" si="3"/>
        <v>0</v>
      </c>
    </row>
    <row r="207" spans="1:18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R207" s="10">
        <f t="shared" si="3"/>
        <v>0</v>
      </c>
    </row>
    <row r="208" spans="1:18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R208" s="10">
        <f t="shared" si="3"/>
        <v>1</v>
      </c>
    </row>
    <row r="209" spans="1:18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R209" s="10">
        <f t="shared" si="3"/>
        <v>1</v>
      </c>
    </row>
    <row r="210" spans="1:18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R210" s="10">
        <f t="shared" si="3"/>
        <v>0</v>
      </c>
    </row>
    <row r="211" spans="1:18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R211" s="10">
        <f t="shared" si="3"/>
        <v>0</v>
      </c>
    </row>
    <row r="212" spans="1:18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R212" s="10">
        <f t="shared" si="3"/>
        <v>0</v>
      </c>
    </row>
    <row r="213" spans="1:18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R213" s="10">
        <f t="shared" si="3"/>
        <v>0</v>
      </c>
    </row>
    <row r="214" spans="1:18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R214" s="10">
        <f t="shared" si="3"/>
        <v>0</v>
      </c>
    </row>
    <row r="215" spans="1:18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R215" s="10">
        <f t="shared" si="3"/>
        <v>0</v>
      </c>
    </row>
    <row r="216" spans="1:18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R216" s="10">
        <f t="shared" si="3"/>
        <v>0</v>
      </c>
    </row>
    <row r="217" spans="1:18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R217" s="10">
        <f t="shared" si="3"/>
        <v>0</v>
      </c>
    </row>
    <row r="218" spans="1:18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R218" s="10">
        <f t="shared" si="3"/>
        <v>0</v>
      </c>
    </row>
    <row r="219" spans="1:18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R219" s="10">
        <f t="shared" si="3"/>
        <v>0</v>
      </c>
    </row>
    <row r="220" spans="1:18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R220" s="10">
        <f t="shared" si="3"/>
        <v>1</v>
      </c>
    </row>
    <row r="221" spans="1:18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R221" s="10">
        <f t="shared" si="3"/>
        <v>1</v>
      </c>
    </row>
    <row r="222" spans="1:18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R222" s="10">
        <f t="shared" si="3"/>
        <v>0</v>
      </c>
    </row>
    <row r="223" spans="1:18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R223" s="10">
        <f t="shared" si="3"/>
        <v>0</v>
      </c>
    </row>
    <row r="224" spans="1:18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R224" s="10">
        <f t="shared" si="3"/>
        <v>1</v>
      </c>
    </row>
    <row r="225" spans="1:18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R225" s="10">
        <f t="shared" si="3"/>
        <v>0</v>
      </c>
    </row>
    <row r="226" spans="1:18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R226" s="10">
        <f t="shared" si="3"/>
        <v>0</v>
      </c>
    </row>
    <row r="227" spans="1:18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R227" s="10">
        <f t="shared" si="3"/>
        <v>0</v>
      </c>
    </row>
    <row r="228" spans="1:18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R228" s="10">
        <f t="shared" si="3"/>
        <v>0</v>
      </c>
    </row>
    <row r="229" spans="1:18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R229" s="10">
        <f t="shared" si="3"/>
        <v>0</v>
      </c>
    </row>
    <row r="230" spans="1:18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R230" s="10">
        <f t="shared" si="3"/>
        <v>1</v>
      </c>
    </row>
    <row r="231" spans="1:18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R231" s="10">
        <f t="shared" si="3"/>
        <v>1</v>
      </c>
    </row>
    <row r="232" spans="1:18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R232" s="10">
        <f t="shared" si="3"/>
        <v>0</v>
      </c>
    </row>
    <row r="233" spans="1:18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R233" s="10">
        <f t="shared" si="3"/>
        <v>0</v>
      </c>
    </row>
    <row r="234" spans="1:18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R234" s="10">
        <f t="shared" si="3"/>
        <v>0</v>
      </c>
    </row>
    <row r="235" spans="1:18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R235" s="10">
        <f t="shared" si="3"/>
        <v>0</v>
      </c>
    </row>
    <row r="236" spans="1:18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R236" s="10">
        <f t="shared" si="3"/>
        <v>0</v>
      </c>
    </row>
    <row r="237" spans="1:18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R237" s="10">
        <f t="shared" si="3"/>
        <v>1</v>
      </c>
    </row>
    <row r="238" spans="1:18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R238" s="10">
        <f t="shared" si="3"/>
        <v>0</v>
      </c>
    </row>
    <row r="239" spans="1:18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R239" s="10">
        <f t="shared" si="3"/>
        <v>0</v>
      </c>
    </row>
    <row r="240" spans="1:18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R240" s="10">
        <f t="shared" si="3"/>
        <v>0</v>
      </c>
    </row>
    <row r="241" spans="1:18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R241" s="10">
        <f t="shared" si="3"/>
        <v>0</v>
      </c>
    </row>
    <row r="242" spans="1:18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R242" s="10">
        <f t="shared" si="3"/>
        <v>0</v>
      </c>
    </row>
    <row r="243" spans="1:18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R243" s="10">
        <f t="shared" si="3"/>
        <v>0</v>
      </c>
    </row>
    <row r="244" spans="1:18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R244" s="10">
        <f t="shared" si="3"/>
        <v>0</v>
      </c>
    </row>
    <row r="245" spans="1:18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R245" s="10">
        <f t="shared" si="3"/>
        <v>0</v>
      </c>
    </row>
    <row r="246" spans="1:18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R246" s="10">
        <f t="shared" si="3"/>
        <v>0</v>
      </c>
    </row>
    <row r="247" spans="1:18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R247" s="10">
        <f t="shared" si="3"/>
        <v>0</v>
      </c>
    </row>
    <row r="248" spans="1:18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R248" s="10">
        <f t="shared" si="3"/>
        <v>0</v>
      </c>
    </row>
    <row r="249" spans="1:18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R249" s="10">
        <f t="shared" si="3"/>
        <v>0</v>
      </c>
    </row>
    <row r="250" spans="1:18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R250" s="10">
        <f t="shared" si="3"/>
        <v>0</v>
      </c>
    </row>
    <row r="251" spans="1:18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R251" s="10">
        <f t="shared" si="3"/>
        <v>0</v>
      </c>
    </row>
    <row r="252" spans="1:18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R252" s="10">
        <f t="shared" si="3"/>
        <v>0</v>
      </c>
    </row>
    <row r="253" spans="1:18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R253" s="10">
        <f t="shared" si="3"/>
        <v>0</v>
      </c>
    </row>
    <row r="254" spans="1:18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R254" s="10">
        <f t="shared" si="3"/>
        <v>0</v>
      </c>
    </row>
    <row r="255" spans="1:18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R255" s="10">
        <f t="shared" si="3"/>
        <v>1</v>
      </c>
    </row>
    <row r="256" spans="1:18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R256" s="10">
        <f t="shared" si="3"/>
        <v>0</v>
      </c>
    </row>
    <row r="257" spans="1:18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R257" s="10">
        <f t="shared" si="3"/>
        <v>0</v>
      </c>
    </row>
    <row r="258" spans="1:18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R258" s="10">
        <f t="shared" si="3"/>
        <v>0</v>
      </c>
    </row>
    <row r="259" spans="1:18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R259" s="10">
        <f t="shared" ref="R259:R322" si="4">IF(M259&gt;0,1,0)</f>
        <v>0</v>
      </c>
    </row>
    <row r="260" spans="1:18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R260" s="10">
        <f t="shared" si="4"/>
        <v>0</v>
      </c>
    </row>
    <row r="261" spans="1:18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R261" s="10">
        <f t="shared" si="4"/>
        <v>1</v>
      </c>
    </row>
    <row r="262" spans="1:18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R262" s="10">
        <f t="shared" si="4"/>
        <v>0</v>
      </c>
    </row>
    <row r="263" spans="1:18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R263" s="10">
        <f t="shared" si="4"/>
        <v>0</v>
      </c>
    </row>
    <row r="264" spans="1:18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R264" s="10">
        <f t="shared" si="4"/>
        <v>0</v>
      </c>
    </row>
    <row r="265" spans="1:18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R265" s="10">
        <f t="shared" si="4"/>
        <v>0</v>
      </c>
    </row>
    <row r="266" spans="1:18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R266" s="10">
        <f t="shared" si="4"/>
        <v>0</v>
      </c>
    </row>
    <row r="267" spans="1:18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R267" s="10">
        <f t="shared" si="4"/>
        <v>0</v>
      </c>
    </row>
    <row r="268" spans="1:18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R268" s="10">
        <f t="shared" si="4"/>
        <v>0</v>
      </c>
    </row>
    <row r="269" spans="1:18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R269" s="10">
        <f t="shared" si="4"/>
        <v>0</v>
      </c>
    </row>
    <row r="270" spans="1:18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R270" s="10">
        <f t="shared" si="4"/>
        <v>0</v>
      </c>
    </row>
    <row r="271" spans="1:18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R271" s="10">
        <f t="shared" si="4"/>
        <v>0</v>
      </c>
    </row>
    <row r="272" spans="1:18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R272" s="10">
        <f t="shared" si="4"/>
        <v>0</v>
      </c>
    </row>
    <row r="273" spans="1:18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R273" s="10">
        <f t="shared" si="4"/>
        <v>0</v>
      </c>
    </row>
    <row r="274" spans="1:18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R274" s="10">
        <f t="shared" si="4"/>
        <v>0</v>
      </c>
    </row>
    <row r="275" spans="1:18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R275" s="10">
        <f t="shared" si="4"/>
        <v>0</v>
      </c>
    </row>
    <row r="276" spans="1:18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R276" s="10">
        <f t="shared" si="4"/>
        <v>1</v>
      </c>
    </row>
    <row r="277" spans="1:18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R277" s="10">
        <f t="shared" si="4"/>
        <v>0</v>
      </c>
    </row>
    <row r="278" spans="1:18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R278" s="10">
        <f t="shared" si="4"/>
        <v>0</v>
      </c>
    </row>
    <row r="279" spans="1:18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R279" s="10">
        <f t="shared" si="4"/>
        <v>0</v>
      </c>
    </row>
    <row r="280" spans="1:18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R280" s="10">
        <f t="shared" si="4"/>
        <v>1</v>
      </c>
    </row>
    <row r="281" spans="1:18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R281" s="10">
        <f t="shared" si="4"/>
        <v>0</v>
      </c>
    </row>
    <row r="282" spans="1:18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R282" s="10">
        <f t="shared" si="4"/>
        <v>0</v>
      </c>
    </row>
    <row r="283" spans="1:18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R283" s="10">
        <f t="shared" si="4"/>
        <v>1</v>
      </c>
    </row>
    <row r="284" spans="1:18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R284" s="10">
        <f t="shared" si="4"/>
        <v>1</v>
      </c>
    </row>
    <row r="285" spans="1:18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R285" s="10">
        <f t="shared" si="4"/>
        <v>0</v>
      </c>
    </row>
    <row r="286" spans="1:18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R286" s="10">
        <f t="shared" si="4"/>
        <v>0</v>
      </c>
    </row>
    <row r="287" spans="1:18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R287" s="10">
        <f t="shared" si="4"/>
        <v>0</v>
      </c>
    </row>
    <row r="288" spans="1:18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R288" s="10">
        <f t="shared" si="4"/>
        <v>0</v>
      </c>
    </row>
    <row r="289" spans="1:18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R289" s="10">
        <f t="shared" si="4"/>
        <v>0</v>
      </c>
    </row>
    <row r="290" spans="1:18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R290" s="10">
        <f t="shared" si="4"/>
        <v>0</v>
      </c>
    </row>
    <row r="291" spans="1:18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R291" s="10">
        <f t="shared" si="4"/>
        <v>1</v>
      </c>
    </row>
    <row r="292" spans="1:18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R292" s="10">
        <f t="shared" si="4"/>
        <v>0</v>
      </c>
    </row>
    <row r="293" spans="1:18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R293" s="10">
        <f t="shared" si="4"/>
        <v>0</v>
      </c>
    </row>
    <row r="294" spans="1:18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R294" s="10">
        <f t="shared" si="4"/>
        <v>0</v>
      </c>
    </row>
    <row r="295" spans="1:18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R295" s="10">
        <f t="shared" si="4"/>
        <v>0</v>
      </c>
    </row>
    <row r="296" spans="1:18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R296" s="10">
        <f t="shared" si="4"/>
        <v>0</v>
      </c>
    </row>
    <row r="297" spans="1:18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R297" s="10">
        <f t="shared" si="4"/>
        <v>0</v>
      </c>
    </row>
    <row r="298" spans="1:18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R298" s="10">
        <f t="shared" si="4"/>
        <v>1</v>
      </c>
    </row>
    <row r="299" spans="1:18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R299" s="10">
        <f t="shared" si="4"/>
        <v>0</v>
      </c>
    </row>
    <row r="300" spans="1:18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R300" s="10">
        <f t="shared" si="4"/>
        <v>0</v>
      </c>
    </row>
    <row r="301" spans="1:18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R301" s="10">
        <f t="shared" si="4"/>
        <v>1</v>
      </c>
    </row>
    <row r="302" spans="1:18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R302" s="10">
        <f t="shared" si="4"/>
        <v>1</v>
      </c>
    </row>
    <row r="303" spans="1:18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R303" s="10">
        <f t="shared" si="4"/>
        <v>0</v>
      </c>
    </row>
    <row r="304" spans="1:18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R304" s="10">
        <f t="shared" si="4"/>
        <v>0</v>
      </c>
    </row>
    <row r="305" spans="1:18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R305" s="10">
        <f t="shared" si="4"/>
        <v>0</v>
      </c>
    </row>
    <row r="306" spans="1:18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R306" s="10">
        <f t="shared" si="4"/>
        <v>1</v>
      </c>
    </row>
    <row r="307" spans="1:18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R307" s="10">
        <f t="shared" si="4"/>
        <v>0</v>
      </c>
    </row>
    <row r="308" spans="1:18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R308" s="10">
        <f t="shared" si="4"/>
        <v>0</v>
      </c>
    </row>
    <row r="309" spans="1:18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R309" s="10">
        <f t="shared" si="4"/>
        <v>0</v>
      </c>
    </row>
    <row r="310" spans="1:18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R310" s="10">
        <f t="shared" si="4"/>
        <v>0</v>
      </c>
    </row>
    <row r="311" spans="1:18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R311" s="10">
        <f t="shared" si="4"/>
        <v>0</v>
      </c>
    </row>
    <row r="312" spans="1:18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R312" s="10">
        <f t="shared" si="4"/>
        <v>0</v>
      </c>
    </row>
    <row r="313" spans="1:18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R313" s="10">
        <f t="shared" si="4"/>
        <v>0</v>
      </c>
    </row>
    <row r="314" spans="1:18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R314" s="10">
        <f t="shared" si="4"/>
        <v>0</v>
      </c>
    </row>
    <row r="315" spans="1:18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R315" s="10">
        <f t="shared" si="4"/>
        <v>0</v>
      </c>
    </row>
    <row r="316" spans="1:18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R316" s="10">
        <f t="shared" si="4"/>
        <v>0</v>
      </c>
    </row>
    <row r="317" spans="1:18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R317" s="10">
        <f t="shared" si="4"/>
        <v>0</v>
      </c>
    </row>
    <row r="318" spans="1:18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R318" s="10">
        <f t="shared" si="4"/>
        <v>0</v>
      </c>
    </row>
    <row r="319" spans="1:18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R319" s="10">
        <f t="shared" si="4"/>
        <v>0</v>
      </c>
    </row>
    <row r="320" spans="1:18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R320" s="10">
        <f t="shared" si="4"/>
        <v>0</v>
      </c>
    </row>
    <row r="321" spans="1:18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R321" s="10">
        <f t="shared" si="4"/>
        <v>0</v>
      </c>
    </row>
    <row r="322" spans="1:18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R322" s="10">
        <f t="shared" si="4"/>
        <v>0</v>
      </c>
    </row>
    <row r="323" spans="1:18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R323" s="10">
        <f t="shared" ref="R323:R386" si="5">IF(M323&gt;0,1,0)</f>
        <v>1</v>
      </c>
    </row>
    <row r="324" spans="1:18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R324" s="10">
        <f t="shared" si="5"/>
        <v>0</v>
      </c>
    </row>
    <row r="325" spans="1:18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R325" s="10">
        <f t="shared" si="5"/>
        <v>0</v>
      </c>
    </row>
    <row r="326" spans="1:18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R326" s="10">
        <f t="shared" si="5"/>
        <v>0</v>
      </c>
    </row>
    <row r="327" spans="1:18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R327" s="10">
        <f t="shared" si="5"/>
        <v>0</v>
      </c>
    </row>
    <row r="328" spans="1:18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R328" s="10">
        <f t="shared" si="5"/>
        <v>0</v>
      </c>
    </row>
    <row r="329" spans="1:18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R329" s="10">
        <f t="shared" si="5"/>
        <v>0</v>
      </c>
    </row>
    <row r="330" spans="1:18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R330" s="10">
        <f t="shared" si="5"/>
        <v>0</v>
      </c>
    </row>
    <row r="331" spans="1:18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R331" s="10">
        <f t="shared" si="5"/>
        <v>0</v>
      </c>
    </row>
    <row r="332" spans="1:18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R332" s="10">
        <f t="shared" si="5"/>
        <v>1</v>
      </c>
    </row>
    <row r="333" spans="1:18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R333" s="10">
        <f t="shared" si="5"/>
        <v>0</v>
      </c>
    </row>
    <row r="334" spans="1:18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R334" s="10">
        <f t="shared" si="5"/>
        <v>0</v>
      </c>
    </row>
    <row r="335" spans="1:18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R335" s="10">
        <f t="shared" si="5"/>
        <v>0</v>
      </c>
    </row>
    <row r="336" spans="1:18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R336" s="10">
        <f t="shared" si="5"/>
        <v>0</v>
      </c>
    </row>
    <row r="337" spans="1:18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R337" s="10">
        <f t="shared" si="5"/>
        <v>0</v>
      </c>
    </row>
    <row r="338" spans="1:18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R338" s="10">
        <f t="shared" si="5"/>
        <v>0</v>
      </c>
    </row>
    <row r="339" spans="1:18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R339" s="10">
        <f t="shared" si="5"/>
        <v>0</v>
      </c>
    </row>
    <row r="340" spans="1:18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R340" s="10">
        <f t="shared" si="5"/>
        <v>0</v>
      </c>
    </row>
    <row r="341" spans="1:18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R341" s="10">
        <f t="shared" si="5"/>
        <v>0</v>
      </c>
    </row>
    <row r="342" spans="1:18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R342" s="10">
        <f t="shared" si="5"/>
        <v>0</v>
      </c>
    </row>
    <row r="343" spans="1:18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R343" s="10">
        <f t="shared" si="5"/>
        <v>1</v>
      </c>
    </row>
    <row r="344" spans="1:18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R344" s="10">
        <f t="shared" si="5"/>
        <v>0</v>
      </c>
    </row>
    <row r="345" spans="1:18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R345" s="10">
        <f t="shared" si="5"/>
        <v>0</v>
      </c>
    </row>
    <row r="346" spans="1:18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R346" s="10">
        <f t="shared" si="5"/>
        <v>0</v>
      </c>
    </row>
    <row r="347" spans="1:18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R347" s="10">
        <f t="shared" si="5"/>
        <v>0</v>
      </c>
    </row>
    <row r="348" spans="1:18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R348" s="10">
        <f t="shared" si="5"/>
        <v>1</v>
      </c>
    </row>
    <row r="349" spans="1:18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R349" s="10">
        <f t="shared" si="5"/>
        <v>0</v>
      </c>
    </row>
    <row r="350" spans="1:18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R350" s="10">
        <f t="shared" si="5"/>
        <v>0</v>
      </c>
    </row>
    <row r="351" spans="1:18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R351" s="10">
        <f t="shared" si="5"/>
        <v>0</v>
      </c>
    </row>
    <row r="352" spans="1:18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R352" s="10">
        <f t="shared" si="5"/>
        <v>0</v>
      </c>
    </row>
    <row r="353" spans="1:18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R353" s="10">
        <f t="shared" si="5"/>
        <v>1</v>
      </c>
    </row>
    <row r="354" spans="1:18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R354" s="10">
        <f t="shared" si="5"/>
        <v>0</v>
      </c>
    </row>
    <row r="355" spans="1:18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R355" s="10">
        <f t="shared" si="5"/>
        <v>0</v>
      </c>
    </row>
    <row r="356" spans="1:18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R356" s="10">
        <f t="shared" si="5"/>
        <v>0</v>
      </c>
    </row>
    <row r="357" spans="1:18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R357" s="10">
        <f t="shared" si="5"/>
        <v>0</v>
      </c>
    </row>
    <row r="358" spans="1:18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R358" s="10">
        <f t="shared" si="5"/>
        <v>0</v>
      </c>
    </row>
    <row r="359" spans="1:18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R359" s="10">
        <f t="shared" si="5"/>
        <v>0</v>
      </c>
    </row>
    <row r="360" spans="1:18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R360" s="10">
        <f t="shared" si="5"/>
        <v>0</v>
      </c>
    </row>
    <row r="361" spans="1:18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R361" s="10">
        <f t="shared" si="5"/>
        <v>0</v>
      </c>
    </row>
    <row r="362" spans="1:18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R362" s="10">
        <f t="shared" si="5"/>
        <v>0</v>
      </c>
    </row>
    <row r="363" spans="1:18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R363" s="10">
        <f t="shared" si="5"/>
        <v>0</v>
      </c>
    </row>
    <row r="364" spans="1:18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R364" s="10">
        <f t="shared" si="5"/>
        <v>0</v>
      </c>
    </row>
    <row r="365" spans="1:18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R365" s="10">
        <f t="shared" si="5"/>
        <v>0</v>
      </c>
    </row>
    <row r="366" spans="1:18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R366" s="10">
        <f t="shared" si="5"/>
        <v>0</v>
      </c>
    </row>
    <row r="367" spans="1:18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R367" s="10">
        <f t="shared" si="5"/>
        <v>0</v>
      </c>
    </row>
    <row r="368" spans="1:18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R368" s="10">
        <f t="shared" si="5"/>
        <v>0</v>
      </c>
    </row>
    <row r="369" spans="1:18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R369" s="10">
        <f t="shared" si="5"/>
        <v>0</v>
      </c>
    </row>
    <row r="370" spans="1:18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R370" s="10">
        <f t="shared" si="5"/>
        <v>0</v>
      </c>
    </row>
    <row r="371" spans="1:18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R371" s="10">
        <f t="shared" si="5"/>
        <v>1</v>
      </c>
    </row>
    <row r="372" spans="1:18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R372" s="10">
        <f t="shared" si="5"/>
        <v>0</v>
      </c>
    </row>
    <row r="373" spans="1:18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R373" s="10">
        <f t="shared" si="5"/>
        <v>0</v>
      </c>
    </row>
    <row r="374" spans="1:18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R374" s="10">
        <f t="shared" si="5"/>
        <v>0</v>
      </c>
    </row>
    <row r="375" spans="1:18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R375" s="10">
        <f t="shared" si="5"/>
        <v>0</v>
      </c>
    </row>
    <row r="376" spans="1:18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R376" s="10">
        <f t="shared" si="5"/>
        <v>0</v>
      </c>
    </row>
    <row r="377" spans="1:18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R377" s="10">
        <f t="shared" si="5"/>
        <v>0</v>
      </c>
    </row>
    <row r="378" spans="1:18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R378" s="10">
        <f t="shared" si="5"/>
        <v>0</v>
      </c>
    </row>
    <row r="379" spans="1:18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R379" s="10">
        <f t="shared" si="5"/>
        <v>0</v>
      </c>
    </row>
    <row r="380" spans="1:18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R380" s="10">
        <f t="shared" si="5"/>
        <v>1</v>
      </c>
    </row>
    <row r="381" spans="1:18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R381" s="10">
        <f t="shared" si="5"/>
        <v>0</v>
      </c>
    </row>
    <row r="382" spans="1:18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R382" s="10">
        <f t="shared" si="5"/>
        <v>0</v>
      </c>
    </row>
    <row r="383" spans="1:18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R383" s="10">
        <f t="shared" si="5"/>
        <v>0</v>
      </c>
    </row>
    <row r="384" spans="1:18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R384" s="10">
        <f t="shared" si="5"/>
        <v>0</v>
      </c>
    </row>
    <row r="385" spans="1:18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R385" s="10">
        <f t="shared" si="5"/>
        <v>0</v>
      </c>
    </row>
    <row r="386" spans="1:18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R386" s="10">
        <f t="shared" si="5"/>
        <v>0</v>
      </c>
    </row>
    <row r="387" spans="1:18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R387" s="10">
        <f t="shared" ref="R387:R450" si="6">IF(M387&gt;0,1,0)</f>
        <v>1</v>
      </c>
    </row>
    <row r="388" spans="1:18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R388" s="10">
        <f t="shared" si="6"/>
        <v>0</v>
      </c>
    </row>
    <row r="389" spans="1:18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R389" s="10">
        <f t="shared" si="6"/>
        <v>1</v>
      </c>
    </row>
    <row r="390" spans="1:18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R390" s="10">
        <f t="shared" si="6"/>
        <v>0</v>
      </c>
    </row>
    <row r="391" spans="1:18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R391" s="10">
        <f t="shared" si="6"/>
        <v>0</v>
      </c>
    </row>
    <row r="392" spans="1:18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R392" s="10">
        <f t="shared" si="6"/>
        <v>0</v>
      </c>
    </row>
    <row r="393" spans="1:18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R393" s="10">
        <f t="shared" si="6"/>
        <v>1</v>
      </c>
    </row>
    <row r="394" spans="1:18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R394" s="10">
        <f t="shared" si="6"/>
        <v>0</v>
      </c>
    </row>
    <row r="395" spans="1:18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R395" s="10">
        <f t="shared" si="6"/>
        <v>0</v>
      </c>
    </row>
    <row r="396" spans="1:18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R396" s="10">
        <f t="shared" si="6"/>
        <v>0</v>
      </c>
    </row>
    <row r="397" spans="1:18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R397" s="10">
        <f t="shared" si="6"/>
        <v>0</v>
      </c>
    </row>
    <row r="398" spans="1:18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R398" s="10">
        <f t="shared" si="6"/>
        <v>0</v>
      </c>
    </row>
    <row r="399" spans="1:18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R399" s="10">
        <f t="shared" si="6"/>
        <v>0</v>
      </c>
    </row>
    <row r="400" spans="1:18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R400" s="10">
        <f t="shared" si="6"/>
        <v>0</v>
      </c>
    </row>
    <row r="401" spans="1:18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R401" s="10">
        <f t="shared" si="6"/>
        <v>0</v>
      </c>
    </row>
    <row r="402" spans="1:18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R402" s="10">
        <f t="shared" si="6"/>
        <v>0</v>
      </c>
    </row>
    <row r="403" spans="1:18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R403" s="10">
        <f t="shared" si="6"/>
        <v>0</v>
      </c>
    </row>
    <row r="404" spans="1:18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R404" s="10">
        <f t="shared" si="6"/>
        <v>0</v>
      </c>
    </row>
    <row r="405" spans="1:18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R405" s="10">
        <f t="shared" si="6"/>
        <v>1</v>
      </c>
    </row>
    <row r="406" spans="1:18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R406" s="10">
        <f t="shared" si="6"/>
        <v>0</v>
      </c>
    </row>
    <row r="407" spans="1:18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R407" s="10">
        <f t="shared" si="6"/>
        <v>0</v>
      </c>
    </row>
    <row r="408" spans="1:18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R408" s="10">
        <f t="shared" si="6"/>
        <v>0</v>
      </c>
    </row>
    <row r="409" spans="1:18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R409" s="10">
        <f t="shared" si="6"/>
        <v>1</v>
      </c>
    </row>
    <row r="410" spans="1:18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R410" s="10">
        <f t="shared" si="6"/>
        <v>0</v>
      </c>
    </row>
    <row r="411" spans="1:18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R411" s="10">
        <f t="shared" si="6"/>
        <v>0</v>
      </c>
    </row>
    <row r="412" spans="1:18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R412" s="10">
        <f t="shared" si="6"/>
        <v>0</v>
      </c>
    </row>
    <row r="413" spans="1:18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R413" s="10">
        <f t="shared" si="6"/>
        <v>0</v>
      </c>
    </row>
    <row r="414" spans="1:18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R414" s="10">
        <f t="shared" si="6"/>
        <v>0</v>
      </c>
    </row>
    <row r="415" spans="1:18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R415" s="10">
        <f t="shared" si="6"/>
        <v>1</v>
      </c>
    </row>
    <row r="416" spans="1:18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R416" s="10">
        <f t="shared" si="6"/>
        <v>0</v>
      </c>
    </row>
    <row r="417" spans="1:18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R417" s="10">
        <f t="shared" si="6"/>
        <v>1</v>
      </c>
    </row>
    <row r="418" spans="1:18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R418" s="10">
        <f t="shared" si="6"/>
        <v>0</v>
      </c>
    </row>
    <row r="419" spans="1:18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R419" s="10">
        <f t="shared" si="6"/>
        <v>0</v>
      </c>
    </row>
    <row r="420" spans="1:18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R420" s="10">
        <f t="shared" si="6"/>
        <v>0</v>
      </c>
    </row>
    <row r="421" spans="1:18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R421" s="10">
        <f t="shared" si="6"/>
        <v>0</v>
      </c>
    </row>
    <row r="422" spans="1:18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R422" s="10">
        <f t="shared" si="6"/>
        <v>0</v>
      </c>
    </row>
    <row r="423" spans="1:18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R423" s="10">
        <f t="shared" si="6"/>
        <v>0</v>
      </c>
    </row>
    <row r="424" spans="1:18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R424" s="10">
        <f t="shared" si="6"/>
        <v>0</v>
      </c>
    </row>
    <row r="425" spans="1:18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R425" s="10">
        <f t="shared" si="6"/>
        <v>0</v>
      </c>
    </row>
    <row r="426" spans="1:18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R426" s="10">
        <f t="shared" si="6"/>
        <v>0</v>
      </c>
    </row>
    <row r="427" spans="1:18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R427" s="10">
        <f t="shared" si="6"/>
        <v>1</v>
      </c>
    </row>
    <row r="428" spans="1:18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R428" s="10">
        <f t="shared" si="6"/>
        <v>1</v>
      </c>
    </row>
    <row r="429" spans="1:18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R429" s="10">
        <f t="shared" si="6"/>
        <v>0</v>
      </c>
    </row>
    <row r="430" spans="1:18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R430" s="10">
        <f t="shared" si="6"/>
        <v>0</v>
      </c>
    </row>
    <row r="431" spans="1:18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R431" s="10">
        <f t="shared" si="6"/>
        <v>0</v>
      </c>
    </row>
    <row r="432" spans="1:18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R432" s="10">
        <f t="shared" si="6"/>
        <v>1</v>
      </c>
    </row>
    <row r="433" spans="1:18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R433" s="10">
        <f t="shared" si="6"/>
        <v>0</v>
      </c>
    </row>
    <row r="434" spans="1:18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R434" s="10">
        <f t="shared" si="6"/>
        <v>0</v>
      </c>
    </row>
    <row r="435" spans="1:18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R435" s="10">
        <f t="shared" si="6"/>
        <v>0</v>
      </c>
    </row>
    <row r="436" spans="1:18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R436" s="10">
        <f t="shared" si="6"/>
        <v>0</v>
      </c>
    </row>
    <row r="437" spans="1:18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R437" s="10">
        <f t="shared" si="6"/>
        <v>0</v>
      </c>
    </row>
    <row r="438" spans="1:18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R438" s="10">
        <f t="shared" si="6"/>
        <v>0</v>
      </c>
    </row>
    <row r="439" spans="1:18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R439" s="10">
        <f t="shared" si="6"/>
        <v>0</v>
      </c>
    </row>
    <row r="440" spans="1:18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R440" s="10">
        <f t="shared" si="6"/>
        <v>0</v>
      </c>
    </row>
    <row r="441" spans="1:18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R441" s="10">
        <f t="shared" si="6"/>
        <v>0</v>
      </c>
    </row>
    <row r="442" spans="1:18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R442" s="10">
        <f t="shared" si="6"/>
        <v>0</v>
      </c>
    </row>
    <row r="443" spans="1:18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R443" s="10">
        <f t="shared" si="6"/>
        <v>0</v>
      </c>
    </row>
    <row r="444" spans="1:18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R444" s="10">
        <f t="shared" si="6"/>
        <v>0</v>
      </c>
    </row>
    <row r="445" spans="1:18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R445" s="10">
        <f t="shared" si="6"/>
        <v>1</v>
      </c>
    </row>
    <row r="446" spans="1:18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R446" s="10">
        <f t="shared" si="6"/>
        <v>0</v>
      </c>
    </row>
    <row r="447" spans="1:18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R447" s="10">
        <f t="shared" si="6"/>
        <v>1</v>
      </c>
    </row>
    <row r="448" spans="1:18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R448" s="10">
        <f t="shared" si="6"/>
        <v>0</v>
      </c>
    </row>
    <row r="449" spans="1:18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R449" s="10">
        <f t="shared" si="6"/>
        <v>0</v>
      </c>
    </row>
    <row r="450" spans="1:18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R450" s="10">
        <f t="shared" si="6"/>
        <v>0</v>
      </c>
    </row>
    <row r="451" spans="1:18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R451" s="10">
        <f t="shared" ref="R451:R514" si="7">IF(M451&gt;0,1,0)</f>
        <v>0</v>
      </c>
    </row>
    <row r="452" spans="1:18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R452" s="10">
        <f t="shared" si="7"/>
        <v>0</v>
      </c>
    </row>
    <row r="453" spans="1:18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R453" s="10">
        <f t="shared" si="7"/>
        <v>0</v>
      </c>
    </row>
    <row r="454" spans="1:18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R454" s="10">
        <f t="shared" si="7"/>
        <v>0</v>
      </c>
    </row>
    <row r="455" spans="1:18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R455" s="10">
        <f t="shared" si="7"/>
        <v>0</v>
      </c>
    </row>
    <row r="456" spans="1:18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R456" s="10">
        <f t="shared" si="7"/>
        <v>0</v>
      </c>
    </row>
    <row r="457" spans="1:18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R457" s="10">
        <f t="shared" si="7"/>
        <v>0</v>
      </c>
    </row>
    <row r="458" spans="1:18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R458" s="10">
        <f t="shared" si="7"/>
        <v>1</v>
      </c>
    </row>
    <row r="459" spans="1:18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R459" s="10">
        <f t="shared" si="7"/>
        <v>1</v>
      </c>
    </row>
    <row r="460" spans="1:18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R460" s="10">
        <f t="shared" si="7"/>
        <v>0</v>
      </c>
    </row>
    <row r="461" spans="1:18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R461" s="10">
        <f t="shared" si="7"/>
        <v>1</v>
      </c>
    </row>
    <row r="462" spans="1:18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R462" s="10">
        <f t="shared" si="7"/>
        <v>0</v>
      </c>
    </row>
    <row r="463" spans="1:18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R463" s="10">
        <f t="shared" si="7"/>
        <v>0</v>
      </c>
    </row>
    <row r="464" spans="1:18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R464" s="10">
        <f t="shared" si="7"/>
        <v>0</v>
      </c>
    </row>
    <row r="465" spans="1:18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R465" s="10">
        <f t="shared" si="7"/>
        <v>0</v>
      </c>
    </row>
    <row r="466" spans="1:18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R466" s="10">
        <f t="shared" si="7"/>
        <v>0</v>
      </c>
    </row>
    <row r="467" spans="1:18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R467" s="10">
        <f t="shared" si="7"/>
        <v>0</v>
      </c>
    </row>
    <row r="468" spans="1:18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R468" s="10">
        <f t="shared" si="7"/>
        <v>0</v>
      </c>
    </row>
    <row r="469" spans="1:18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R469" s="10">
        <f t="shared" si="7"/>
        <v>0</v>
      </c>
    </row>
    <row r="470" spans="1:18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R470" s="10">
        <f t="shared" si="7"/>
        <v>0</v>
      </c>
    </row>
    <row r="471" spans="1:18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R471" s="10">
        <f t="shared" si="7"/>
        <v>0</v>
      </c>
    </row>
    <row r="472" spans="1:18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R472" s="10">
        <f t="shared" si="7"/>
        <v>1</v>
      </c>
    </row>
    <row r="473" spans="1:18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R473" s="10">
        <f t="shared" si="7"/>
        <v>0</v>
      </c>
    </row>
    <row r="474" spans="1:18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R474" s="10">
        <f t="shared" si="7"/>
        <v>0</v>
      </c>
    </row>
    <row r="475" spans="1:18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R475" s="10">
        <f t="shared" si="7"/>
        <v>0</v>
      </c>
    </row>
    <row r="476" spans="1:18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R476" s="10">
        <f t="shared" si="7"/>
        <v>0</v>
      </c>
    </row>
    <row r="477" spans="1:18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R477" s="10">
        <f t="shared" si="7"/>
        <v>0</v>
      </c>
    </row>
    <row r="478" spans="1:18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R478" s="10">
        <f t="shared" si="7"/>
        <v>0</v>
      </c>
    </row>
    <row r="479" spans="1:18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R479" s="10">
        <f t="shared" si="7"/>
        <v>0</v>
      </c>
    </row>
    <row r="480" spans="1:18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R480" s="10">
        <f t="shared" si="7"/>
        <v>0</v>
      </c>
    </row>
    <row r="481" spans="1:18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R481" s="10">
        <f t="shared" si="7"/>
        <v>0</v>
      </c>
    </row>
    <row r="482" spans="1:18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R482" s="10">
        <f t="shared" si="7"/>
        <v>0</v>
      </c>
    </row>
    <row r="483" spans="1:18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R483" s="10">
        <f t="shared" si="7"/>
        <v>0</v>
      </c>
    </row>
    <row r="484" spans="1:18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R484" s="10">
        <f t="shared" si="7"/>
        <v>0</v>
      </c>
    </row>
    <row r="485" spans="1:18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R485" s="10">
        <f t="shared" si="7"/>
        <v>0</v>
      </c>
    </row>
    <row r="486" spans="1:18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R486" s="10">
        <f t="shared" si="7"/>
        <v>1</v>
      </c>
    </row>
    <row r="487" spans="1:18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R487" s="10">
        <f t="shared" si="7"/>
        <v>0</v>
      </c>
    </row>
    <row r="488" spans="1:18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R488" s="10">
        <f t="shared" si="7"/>
        <v>0</v>
      </c>
    </row>
    <row r="489" spans="1:18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R489" s="10">
        <f t="shared" si="7"/>
        <v>0</v>
      </c>
    </row>
    <row r="490" spans="1:18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R490" s="10">
        <f t="shared" si="7"/>
        <v>0</v>
      </c>
    </row>
    <row r="491" spans="1:18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R491" s="10">
        <f t="shared" si="7"/>
        <v>0</v>
      </c>
    </row>
    <row r="492" spans="1:18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R492" s="10">
        <f t="shared" si="7"/>
        <v>1</v>
      </c>
    </row>
    <row r="493" spans="1:18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R493" s="10">
        <f t="shared" si="7"/>
        <v>0</v>
      </c>
    </row>
    <row r="494" spans="1:18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R494" s="10">
        <f t="shared" si="7"/>
        <v>1</v>
      </c>
    </row>
    <row r="495" spans="1:18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R495" s="10">
        <f t="shared" si="7"/>
        <v>0</v>
      </c>
    </row>
    <row r="496" spans="1:18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R496" s="10">
        <f t="shared" si="7"/>
        <v>0</v>
      </c>
    </row>
    <row r="497" spans="1:18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R497" s="10">
        <f t="shared" si="7"/>
        <v>1</v>
      </c>
    </row>
    <row r="498" spans="1:18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R498" s="10">
        <f t="shared" si="7"/>
        <v>1</v>
      </c>
    </row>
    <row r="499" spans="1:18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R499" s="10">
        <f t="shared" si="7"/>
        <v>0</v>
      </c>
    </row>
    <row r="500" spans="1:18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R500" s="10">
        <f t="shared" si="7"/>
        <v>0</v>
      </c>
    </row>
    <row r="501" spans="1:18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R501" s="10">
        <f t="shared" si="7"/>
        <v>0</v>
      </c>
    </row>
    <row r="502" spans="1:18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R502" s="10">
        <f t="shared" si="7"/>
        <v>0</v>
      </c>
    </row>
    <row r="503" spans="1:18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R503" s="10">
        <f t="shared" si="7"/>
        <v>0</v>
      </c>
    </row>
    <row r="504" spans="1:18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R504" s="10">
        <f t="shared" si="7"/>
        <v>0</v>
      </c>
    </row>
    <row r="505" spans="1:18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R505" s="10">
        <f t="shared" si="7"/>
        <v>0</v>
      </c>
    </row>
    <row r="506" spans="1:18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R506" s="10">
        <f t="shared" si="7"/>
        <v>0</v>
      </c>
    </row>
    <row r="507" spans="1:18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R507" s="10">
        <f t="shared" si="7"/>
        <v>0</v>
      </c>
    </row>
    <row r="508" spans="1:18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R508" s="10">
        <f t="shared" si="7"/>
        <v>0</v>
      </c>
    </row>
    <row r="509" spans="1:18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R509" s="10">
        <f t="shared" si="7"/>
        <v>0</v>
      </c>
    </row>
    <row r="510" spans="1:18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R510" s="10">
        <f t="shared" si="7"/>
        <v>0</v>
      </c>
    </row>
    <row r="511" spans="1:18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R511" s="10">
        <f t="shared" si="7"/>
        <v>1</v>
      </c>
    </row>
    <row r="512" spans="1:18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R512" s="10">
        <f t="shared" si="7"/>
        <v>0</v>
      </c>
    </row>
    <row r="513" spans="1:18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R513" s="10">
        <f t="shared" si="7"/>
        <v>1</v>
      </c>
    </row>
    <row r="514" spans="1:18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R514" s="10">
        <f t="shared" si="7"/>
        <v>0</v>
      </c>
    </row>
    <row r="515" spans="1:18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R515" s="10">
        <f t="shared" ref="R515:R578" si="8">IF(M515&gt;0,1,0)</f>
        <v>0</v>
      </c>
    </row>
    <row r="516" spans="1:18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R516" s="10">
        <f t="shared" si="8"/>
        <v>1</v>
      </c>
    </row>
    <row r="517" spans="1:18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R517" s="10">
        <f t="shared" si="8"/>
        <v>0</v>
      </c>
    </row>
    <row r="518" spans="1:18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R518" s="10">
        <f t="shared" si="8"/>
        <v>0</v>
      </c>
    </row>
    <row r="519" spans="1:18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R519" s="10">
        <f t="shared" si="8"/>
        <v>0</v>
      </c>
    </row>
    <row r="520" spans="1:18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R520" s="10">
        <f t="shared" si="8"/>
        <v>0</v>
      </c>
    </row>
    <row r="521" spans="1:18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R521" s="10">
        <f t="shared" si="8"/>
        <v>0</v>
      </c>
    </row>
    <row r="522" spans="1:18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R522" s="10">
        <f t="shared" si="8"/>
        <v>0</v>
      </c>
    </row>
    <row r="523" spans="1:18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R523" s="10">
        <f t="shared" si="8"/>
        <v>0</v>
      </c>
    </row>
    <row r="524" spans="1:18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R524" s="10">
        <f t="shared" si="8"/>
        <v>0</v>
      </c>
    </row>
    <row r="525" spans="1:18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R525" s="10">
        <f t="shared" si="8"/>
        <v>1</v>
      </c>
    </row>
    <row r="526" spans="1:18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R526" s="10">
        <f t="shared" si="8"/>
        <v>0</v>
      </c>
    </row>
    <row r="527" spans="1:18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R527" s="10">
        <f t="shared" si="8"/>
        <v>0</v>
      </c>
    </row>
    <row r="528" spans="1:18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R528" s="10">
        <f t="shared" si="8"/>
        <v>0</v>
      </c>
    </row>
    <row r="529" spans="1:18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R529" s="10">
        <f t="shared" si="8"/>
        <v>0</v>
      </c>
    </row>
    <row r="530" spans="1:18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R530" s="10">
        <f t="shared" si="8"/>
        <v>0</v>
      </c>
    </row>
    <row r="531" spans="1:18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R531" s="10">
        <f t="shared" si="8"/>
        <v>0</v>
      </c>
    </row>
    <row r="532" spans="1:18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R532" s="10">
        <f t="shared" si="8"/>
        <v>0</v>
      </c>
    </row>
    <row r="533" spans="1:18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R533" s="10">
        <f t="shared" si="8"/>
        <v>0</v>
      </c>
    </row>
    <row r="534" spans="1:18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R534" s="10">
        <f t="shared" si="8"/>
        <v>0</v>
      </c>
    </row>
    <row r="535" spans="1:18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R535" s="10">
        <f t="shared" si="8"/>
        <v>0</v>
      </c>
    </row>
    <row r="536" spans="1:18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R536" s="10">
        <f t="shared" si="8"/>
        <v>0</v>
      </c>
    </row>
    <row r="537" spans="1:18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R537" s="10">
        <f t="shared" si="8"/>
        <v>0</v>
      </c>
    </row>
    <row r="538" spans="1:18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R538" s="10">
        <f t="shared" si="8"/>
        <v>1</v>
      </c>
    </row>
    <row r="539" spans="1:18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R539" s="10">
        <f t="shared" si="8"/>
        <v>0</v>
      </c>
    </row>
    <row r="540" spans="1:18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R540" s="10">
        <f t="shared" si="8"/>
        <v>1</v>
      </c>
    </row>
    <row r="541" spans="1:18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R541" s="10">
        <f t="shared" si="8"/>
        <v>0</v>
      </c>
    </row>
    <row r="542" spans="1:18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R542" s="10">
        <f t="shared" si="8"/>
        <v>0</v>
      </c>
    </row>
    <row r="543" spans="1:18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R543" s="10">
        <f t="shared" si="8"/>
        <v>0</v>
      </c>
    </row>
    <row r="544" spans="1:18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R544" s="10">
        <f t="shared" si="8"/>
        <v>0</v>
      </c>
    </row>
    <row r="545" spans="1:18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R545" s="10">
        <f t="shared" si="8"/>
        <v>0</v>
      </c>
    </row>
    <row r="546" spans="1:18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R546" s="10">
        <f t="shared" si="8"/>
        <v>0</v>
      </c>
    </row>
    <row r="547" spans="1:18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R547" s="10">
        <f t="shared" si="8"/>
        <v>0</v>
      </c>
    </row>
    <row r="548" spans="1:18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R548" s="10">
        <f t="shared" si="8"/>
        <v>0</v>
      </c>
    </row>
    <row r="549" spans="1:18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R549" s="10">
        <f t="shared" si="8"/>
        <v>0</v>
      </c>
    </row>
    <row r="550" spans="1:18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R550" s="10">
        <f t="shared" si="8"/>
        <v>0</v>
      </c>
    </row>
    <row r="551" spans="1:18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R551" s="10">
        <f t="shared" si="8"/>
        <v>1</v>
      </c>
    </row>
    <row r="552" spans="1:18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R552" s="10">
        <f t="shared" si="8"/>
        <v>0</v>
      </c>
    </row>
    <row r="553" spans="1:18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R553" s="10">
        <f t="shared" si="8"/>
        <v>0</v>
      </c>
    </row>
    <row r="554" spans="1:18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R554" s="10">
        <f t="shared" si="8"/>
        <v>0</v>
      </c>
    </row>
    <row r="555" spans="1:18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R555" s="10">
        <f t="shared" si="8"/>
        <v>0</v>
      </c>
    </row>
    <row r="556" spans="1:18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R556" s="10">
        <f t="shared" si="8"/>
        <v>0</v>
      </c>
    </row>
    <row r="557" spans="1:18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R557" s="10">
        <f t="shared" si="8"/>
        <v>0</v>
      </c>
    </row>
    <row r="558" spans="1:18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R558" s="10">
        <f t="shared" si="8"/>
        <v>0</v>
      </c>
    </row>
    <row r="559" spans="1:18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R559" s="10">
        <f t="shared" si="8"/>
        <v>0</v>
      </c>
    </row>
    <row r="560" spans="1:18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R560" s="10">
        <f t="shared" si="8"/>
        <v>0</v>
      </c>
    </row>
    <row r="561" spans="1:18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R561" s="10">
        <f t="shared" si="8"/>
        <v>0</v>
      </c>
    </row>
    <row r="562" spans="1:18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R562" s="10">
        <f t="shared" si="8"/>
        <v>0</v>
      </c>
    </row>
    <row r="563" spans="1:18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R563" s="10">
        <f t="shared" si="8"/>
        <v>0</v>
      </c>
    </row>
    <row r="564" spans="1:18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R564" s="10">
        <f t="shared" si="8"/>
        <v>0</v>
      </c>
    </row>
    <row r="565" spans="1:18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R565" s="10">
        <f t="shared" si="8"/>
        <v>0</v>
      </c>
    </row>
    <row r="566" spans="1:18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R566" s="10">
        <f t="shared" si="8"/>
        <v>1</v>
      </c>
    </row>
    <row r="567" spans="1:18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R567" s="10">
        <f t="shared" si="8"/>
        <v>0</v>
      </c>
    </row>
    <row r="568" spans="1:18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R568" s="10">
        <f t="shared" si="8"/>
        <v>0</v>
      </c>
    </row>
    <row r="569" spans="1:18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R569" s="10">
        <f t="shared" si="8"/>
        <v>0</v>
      </c>
    </row>
    <row r="570" spans="1:18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R570" s="10">
        <f t="shared" si="8"/>
        <v>0</v>
      </c>
    </row>
    <row r="571" spans="1:18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R571" s="10">
        <f t="shared" si="8"/>
        <v>1</v>
      </c>
    </row>
    <row r="572" spans="1:18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R572" s="10">
        <f t="shared" si="8"/>
        <v>1</v>
      </c>
    </row>
    <row r="573" spans="1:18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R573" s="10">
        <f t="shared" si="8"/>
        <v>0</v>
      </c>
    </row>
    <row r="574" spans="1:18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R574" s="10">
        <f t="shared" si="8"/>
        <v>0</v>
      </c>
    </row>
    <row r="575" spans="1:18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R575" s="10">
        <f t="shared" si="8"/>
        <v>1</v>
      </c>
    </row>
    <row r="576" spans="1:18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R576" s="10">
        <f t="shared" si="8"/>
        <v>0</v>
      </c>
    </row>
    <row r="577" spans="1:18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R577" s="10">
        <f t="shared" si="8"/>
        <v>0</v>
      </c>
    </row>
    <row r="578" spans="1:18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R578" s="10">
        <f t="shared" si="8"/>
        <v>0</v>
      </c>
    </row>
    <row r="579" spans="1:18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R579" s="10">
        <f t="shared" ref="R579:R642" si="9">IF(M579&gt;0,1,0)</f>
        <v>0</v>
      </c>
    </row>
    <row r="580" spans="1:18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R580" s="10">
        <f t="shared" si="9"/>
        <v>0</v>
      </c>
    </row>
    <row r="581" spans="1:18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R581" s="10">
        <f t="shared" si="9"/>
        <v>0</v>
      </c>
    </row>
    <row r="582" spans="1:18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R582" s="10">
        <f t="shared" si="9"/>
        <v>1</v>
      </c>
    </row>
    <row r="583" spans="1:18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R583" s="10">
        <f t="shared" si="9"/>
        <v>0</v>
      </c>
    </row>
    <row r="584" spans="1:18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R584" s="10">
        <f t="shared" si="9"/>
        <v>0</v>
      </c>
    </row>
    <row r="585" spans="1:18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R585" s="10">
        <f t="shared" si="9"/>
        <v>0</v>
      </c>
    </row>
    <row r="586" spans="1:18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R586" s="10">
        <f t="shared" si="9"/>
        <v>1</v>
      </c>
    </row>
    <row r="587" spans="1:18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R587" s="10">
        <f t="shared" si="9"/>
        <v>0</v>
      </c>
    </row>
    <row r="588" spans="1:18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R588" s="10">
        <f t="shared" si="9"/>
        <v>0</v>
      </c>
    </row>
    <row r="589" spans="1:18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R589" s="10">
        <f t="shared" si="9"/>
        <v>1</v>
      </c>
    </row>
    <row r="590" spans="1:18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R590" s="10">
        <f t="shared" si="9"/>
        <v>0</v>
      </c>
    </row>
    <row r="591" spans="1:18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R591" s="10">
        <f t="shared" si="9"/>
        <v>1</v>
      </c>
    </row>
    <row r="592" spans="1:18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R592" s="10">
        <f t="shared" si="9"/>
        <v>0</v>
      </c>
    </row>
    <row r="593" spans="1:18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R593" s="10">
        <f t="shared" si="9"/>
        <v>0</v>
      </c>
    </row>
    <row r="594" spans="1:18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R594" s="10">
        <f t="shared" si="9"/>
        <v>0</v>
      </c>
    </row>
    <row r="595" spans="1:18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R595" s="10">
        <f t="shared" si="9"/>
        <v>0</v>
      </c>
    </row>
    <row r="596" spans="1:18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R596" s="10">
        <f t="shared" si="9"/>
        <v>0</v>
      </c>
    </row>
    <row r="597" spans="1:18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R597" s="10">
        <f t="shared" si="9"/>
        <v>0</v>
      </c>
    </row>
    <row r="598" spans="1:18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R598" s="10">
        <f t="shared" si="9"/>
        <v>0</v>
      </c>
    </row>
    <row r="599" spans="1:18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R599" s="10">
        <f t="shared" si="9"/>
        <v>0</v>
      </c>
    </row>
    <row r="600" spans="1:18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R600" s="10">
        <f t="shared" si="9"/>
        <v>0</v>
      </c>
    </row>
    <row r="601" spans="1:18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R601" s="10">
        <f t="shared" si="9"/>
        <v>1</v>
      </c>
    </row>
    <row r="602" spans="1:18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R602" s="10">
        <f t="shared" si="9"/>
        <v>1</v>
      </c>
    </row>
    <row r="603" spans="1:18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R603" s="10">
        <f t="shared" si="9"/>
        <v>0</v>
      </c>
    </row>
    <row r="604" spans="1:18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R604" s="10">
        <f t="shared" si="9"/>
        <v>0</v>
      </c>
    </row>
    <row r="605" spans="1:18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R605" s="10">
        <f t="shared" si="9"/>
        <v>0</v>
      </c>
    </row>
    <row r="606" spans="1:18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R606" s="10">
        <f t="shared" si="9"/>
        <v>1</v>
      </c>
    </row>
    <row r="607" spans="1:18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R607" s="10">
        <f t="shared" si="9"/>
        <v>0</v>
      </c>
    </row>
    <row r="608" spans="1:18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R608" s="10">
        <f t="shared" si="9"/>
        <v>0</v>
      </c>
    </row>
    <row r="609" spans="1:18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R609" s="10">
        <f t="shared" si="9"/>
        <v>0</v>
      </c>
    </row>
    <row r="610" spans="1:18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R610" s="10">
        <f t="shared" si="9"/>
        <v>0</v>
      </c>
    </row>
    <row r="611" spans="1:18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R611" s="10">
        <f t="shared" si="9"/>
        <v>0</v>
      </c>
    </row>
    <row r="612" spans="1:18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R612" s="10">
        <f t="shared" si="9"/>
        <v>0</v>
      </c>
    </row>
    <row r="613" spans="1:18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R613" s="10">
        <f t="shared" si="9"/>
        <v>1</v>
      </c>
    </row>
    <row r="614" spans="1:18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R614" s="10">
        <f t="shared" si="9"/>
        <v>0</v>
      </c>
    </row>
    <row r="615" spans="1:18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R615" s="10">
        <f t="shared" si="9"/>
        <v>0</v>
      </c>
    </row>
    <row r="616" spans="1:18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R616" s="10">
        <f t="shared" si="9"/>
        <v>0</v>
      </c>
    </row>
    <row r="617" spans="1:18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R617" s="10">
        <f t="shared" si="9"/>
        <v>0</v>
      </c>
    </row>
    <row r="618" spans="1:18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R618" s="10">
        <f t="shared" si="9"/>
        <v>1</v>
      </c>
    </row>
    <row r="619" spans="1:18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R619" s="10">
        <f t="shared" si="9"/>
        <v>0</v>
      </c>
    </row>
    <row r="620" spans="1:18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R620" s="10">
        <f t="shared" si="9"/>
        <v>0</v>
      </c>
    </row>
    <row r="621" spans="1:18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R621" s="10">
        <f t="shared" si="9"/>
        <v>0</v>
      </c>
    </row>
    <row r="622" spans="1:18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R622" s="10">
        <f t="shared" si="9"/>
        <v>0</v>
      </c>
    </row>
    <row r="623" spans="1:18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R623" s="10">
        <f t="shared" si="9"/>
        <v>0</v>
      </c>
    </row>
    <row r="624" spans="1:18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R624" s="10">
        <f t="shared" si="9"/>
        <v>0</v>
      </c>
    </row>
    <row r="625" spans="1:18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R625" s="10">
        <f t="shared" si="9"/>
        <v>0</v>
      </c>
    </row>
    <row r="626" spans="1:18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R626" s="10">
        <f t="shared" si="9"/>
        <v>0</v>
      </c>
    </row>
    <row r="627" spans="1:18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R627" s="10">
        <f t="shared" si="9"/>
        <v>0</v>
      </c>
    </row>
    <row r="628" spans="1:18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R628" s="10">
        <f t="shared" si="9"/>
        <v>0</v>
      </c>
    </row>
    <row r="629" spans="1:18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R629" s="10">
        <f t="shared" si="9"/>
        <v>0</v>
      </c>
    </row>
    <row r="630" spans="1:18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R630" s="10">
        <f t="shared" si="9"/>
        <v>0</v>
      </c>
    </row>
    <row r="631" spans="1:18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R631" s="10">
        <f t="shared" si="9"/>
        <v>0</v>
      </c>
    </row>
    <row r="632" spans="1:18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R632" s="10">
        <f t="shared" si="9"/>
        <v>0</v>
      </c>
    </row>
    <row r="633" spans="1:18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R633" s="10">
        <f t="shared" si="9"/>
        <v>0</v>
      </c>
    </row>
    <row r="634" spans="1:18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R634" s="10">
        <f t="shared" si="9"/>
        <v>0</v>
      </c>
    </row>
    <row r="635" spans="1:18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R635" s="10">
        <f t="shared" si="9"/>
        <v>0</v>
      </c>
    </row>
    <row r="636" spans="1:18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R636" s="10">
        <f t="shared" si="9"/>
        <v>1</v>
      </c>
    </row>
    <row r="637" spans="1:18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R637" s="10">
        <f t="shared" si="9"/>
        <v>0</v>
      </c>
    </row>
    <row r="638" spans="1:18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R638" s="10">
        <f t="shared" si="9"/>
        <v>0</v>
      </c>
    </row>
    <row r="639" spans="1:18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R639" s="10">
        <f t="shared" si="9"/>
        <v>0</v>
      </c>
    </row>
    <row r="640" spans="1:18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R640" s="10">
        <f t="shared" si="9"/>
        <v>0</v>
      </c>
    </row>
    <row r="641" spans="1:18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R641" s="10">
        <f t="shared" si="9"/>
        <v>0</v>
      </c>
    </row>
    <row r="642" spans="1:18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R642" s="10">
        <f t="shared" si="9"/>
        <v>0</v>
      </c>
    </row>
    <row r="643" spans="1:18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R643" s="10">
        <f t="shared" ref="R643:R706" si="10">IF(M643&gt;0,1,0)</f>
        <v>0</v>
      </c>
    </row>
    <row r="644" spans="1:18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R644" s="10">
        <f t="shared" si="10"/>
        <v>0</v>
      </c>
    </row>
    <row r="645" spans="1:18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R645" s="10">
        <f t="shared" si="10"/>
        <v>0</v>
      </c>
    </row>
    <row r="646" spans="1:18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R646" s="10">
        <f t="shared" si="10"/>
        <v>0</v>
      </c>
    </row>
    <row r="647" spans="1:18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R647" s="10">
        <f t="shared" si="10"/>
        <v>0</v>
      </c>
    </row>
    <row r="648" spans="1:18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R648" s="10">
        <f t="shared" si="10"/>
        <v>0</v>
      </c>
    </row>
    <row r="649" spans="1:18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R649" s="10">
        <f t="shared" si="10"/>
        <v>0</v>
      </c>
    </row>
    <row r="650" spans="1:18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R650" s="10">
        <f t="shared" si="10"/>
        <v>0</v>
      </c>
    </row>
    <row r="651" spans="1:18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R651" s="10">
        <f t="shared" si="10"/>
        <v>0</v>
      </c>
    </row>
    <row r="652" spans="1:18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R652" s="10">
        <f t="shared" si="10"/>
        <v>0</v>
      </c>
    </row>
    <row r="653" spans="1:18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R653" s="10">
        <f t="shared" si="10"/>
        <v>0</v>
      </c>
    </row>
    <row r="654" spans="1:18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R654" s="10">
        <f t="shared" si="10"/>
        <v>1</v>
      </c>
    </row>
    <row r="655" spans="1:18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R655" s="10">
        <f t="shared" si="10"/>
        <v>0</v>
      </c>
    </row>
    <row r="656" spans="1:18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R656" s="10">
        <f t="shared" si="10"/>
        <v>0</v>
      </c>
    </row>
    <row r="657" spans="1:18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R657" s="10">
        <f t="shared" si="10"/>
        <v>0</v>
      </c>
    </row>
    <row r="658" spans="1:18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R658" s="10">
        <f t="shared" si="10"/>
        <v>0</v>
      </c>
    </row>
    <row r="659" spans="1:18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R659" s="10">
        <f t="shared" si="10"/>
        <v>0</v>
      </c>
    </row>
    <row r="660" spans="1:18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R660" s="10">
        <f t="shared" si="10"/>
        <v>0</v>
      </c>
    </row>
    <row r="661" spans="1:18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R661" s="10">
        <f t="shared" si="10"/>
        <v>0</v>
      </c>
    </row>
    <row r="662" spans="1:18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R662" s="10">
        <f t="shared" si="10"/>
        <v>0</v>
      </c>
    </row>
    <row r="663" spans="1:18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R663" s="10">
        <f t="shared" si="10"/>
        <v>0</v>
      </c>
    </row>
    <row r="664" spans="1:18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R664" s="10">
        <f t="shared" si="10"/>
        <v>0</v>
      </c>
    </row>
    <row r="665" spans="1:18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R665" s="10">
        <f t="shared" si="10"/>
        <v>0</v>
      </c>
    </row>
    <row r="666" spans="1:18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R666" s="10">
        <f t="shared" si="10"/>
        <v>1</v>
      </c>
    </row>
    <row r="667" spans="1:18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R667" s="10">
        <f t="shared" si="10"/>
        <v>0</v>
      </c>
    </row>
    <row r="668" spans="1:18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R668" s="10">
        <f t="shared" si="10"/>
        <v>0</v>
      </c>
    </row>
    <row r="669" spans="1:18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R669" s="10">
        <f t="shared" si="10"/>
        <v>1</v>
      </c>
    </row>
    <row r="670" spans="1:18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R670" s="10">
        <f t="shared" si="10"/>
        <v>0</v>
      </c>
    </row>
    <row r="671" spans="1:18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R671" s="10">
        <f t="shared" si="10"/>
        <v>0</v>
      </c>
    </row>
    <row r="672" spans="1:18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R672" s="10">
        <f t="shared" si="10"/>
        <v>0</v>
      </c>
    </row>
    <row r="673" spans="1:18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R673" s="10">
        <f t="shared" si="10"/>
        <v>0</v>
      </c>
    </row>
    <row r="674" spans="1:18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R674" s="10">
        <f t="shared" si="10"/>
        <v>1</v>
      </c>
    </row>
    <row r="675" spans="1:18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R675" s="10">
        <f t="shared" si="10"/>
        <v>0</v>
      </c>
    </row>
    <row r="676" spans="1:18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R676" s="10">
        <f t="shared" si="10"/>
        <v>0</v>
      </c>
    </row>
    <row r="677" spans="1:18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R677" s="10">
        <f t="shared" si="10"/>
        <v>0</v>
      </c>
    </row>
    <row r="678" spans="1:18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R678" s="10">
        <f t="shared" si="10"/>
        <v>0</v>
      </c>
    </row>
    <row r="679" spans="1:18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R679" s="10">
        <f t="shared" si="10"/>
        <v>0</v>
      </c>
    </row>
    <row r="680" spans="1:18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R680" s="10">
        <f t="shared" si="10"/>
        <v>0</v>
      </c>
    </row>
    <row r="681" spans="1:18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R681" s="10">
        <f t="shared" si="10"/>
        <v>1</v>
      </c>
    </row>
    <row r="682" spans="1:18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R682" s="10">
        <f t="shared" si="10"/>
        <v>0</v>
      </c>
    </row>
    <row r="683" spans="1:18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R683" s="10">
        <f t="shared" si="10"/>
        <v>0</v>
      </c>
    </row>
    <row r="684" spans="1:18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R684" s="10">
        <f t="shared" si="10"/>
        <v>0</v>
      </c>
    </row>
    <row r="685" spans="1:18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R685" s="10">
        <f t="shared" si="10"/>
        <v>0</v>
      </c>
    </row>
    <row r="686" spans="1:18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R686" s="10">
        <f t="shared" si="10"/>
        <v>1</v>
      </c>
    </row>
    <row r="687" spans="1:18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R687" s="10">
        <f t="shared" si="10"/>
        <v>0</v>
      </c>
    </row>
    <row r="688" spans="1:18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R688" s="10">
        <f t="shared" si="10"/>
        <v>0</v>
      </c>
    </row>
    <row r="689" spans="1:18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R689" s="10">
        <f t="shared" si="10"/>
        <v>0</v>
      </c>
    </row>
    <row r="690" spans="1:18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R690" s="10">
        <f t="shared" si="10"/>
        <v>0</v>
      </c>
    </row>
    <row r="691" spans="1:18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R691" s="10">
        <f t="shared" si="10"/>
        <v>1</v>
      </c>
    </row>
    <row r="692" spans="1:18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R692" s="10">
        <f t="shared" si="10"/>
        <v>0</v>
      </c>
    </row>
    <row r="693" spans="1:18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R693" s="10">
        <f t="shared" si="10"/>
        <v>1</v>
      </c>
    </row>
    <row r="694" spans="1:18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R694" s="10">
        <f t="shared" si="10"/>
        <v>0</v>
      </c>
    </row>
    <row r="695" spans="1:18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R695" s="10">
        <f t="shared" si="10"/>
        <v>0</v>
      </c>
    </row>
    <row r="696" spans="1:18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R696" s="10">
        <f t="shared" si="10"/>
        <v>0</v>
      </c>
    </row>
    <row r="697" spans="1:18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R697" s="10">
        <f t="shared" si="10"/>
        <v>0</v>
      </c>
    </row>
    <row r="698" spans="1:18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R698" s="10">
        <f t="shared" si="10"/>
        <v>0</v>
      </c>
    </row>
    <row r="699" spans="1:18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R699" s="10">
        <f t="shared" si="10"/>
        <v>0</v>
      </c>
    </row>
    <row r="700" spans="1:18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R700" s="10">
        <f t="shared" si="10"/>
        <v>1</v>
      </c>
    </row>
    <row r="701" spans="1:18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R701" s="10">
        <f t="shared" si="10"/>
        <v>1</v>
      </c>
    </row>
    <row r="702" spans="1:18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R702" s="10">
        <f t="shared" si="10"/>
        <v>0</v>
      </c>
    </row>
    <row r="703" spans="1:18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R703" s="10">
        <f t="shared" si="10"/>
        <v>0</v>
      </c>
    </row>
    <row r="704" spans="1:18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R704" s="10">
        <f t="shared" si="10"/>
        <v>1</v>
      </c>
    </row>
    <row r="705" spans="1:18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R705" s="10">
        <f t="shared" si="10"/>
        <v>1</v>
      </c>
    </row>
    <row r="706" spans="1:18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R706" s="10">
        <f t="shared" si="10"/>
        <v>1</v>
      </c>
    </row>
    <row r="707" spans="1:18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R707" s="10">
        <f t="shared" ref="R707:R770" si="11">IF(M707&gt;0,1,0)</f>
        <v>0</v>
      </c>
    </row>
    <row r="708" spans="1:18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R708" s="10">
        <f t="shared" si="11"/>
        <v>0</v>
      </c>
    </row>
    <row r="709" spans="1:18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R709" s="10">
        <f t="shared" si="11"/>
        <v>0</v>
      </c>
    </row>
    <row r="710" spans="1:18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R710" s="10">
        <f t="shared" si="11"/>
        <v>0</v>
      </c>
    </row>
    <row r="711" spans="1:18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R711" s="10">
        <f t="shared" si="11"/>
        <v>1</v>
      </c>
    </row>
    <row r="712" spans="1:18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R712" s="10">
        <f t="shared" si="11"/>
        <v>0</v>
      </c>
    </row>
    <row r="713" spans="1:18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R713" s="10">
        <f t="shared" si="11"/>
        <v>0</v>
      </c>
    </row>
    <row r="714" spans="1:18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R714" s="10">
        <f t="shared" si="11"/>
        <v>0</v>
      </c>
    </row>
    <row r="715" spans="1:18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R715" s="10">
        <f t="shared" si="11"/>
        <v>1</v>
      </c>
    </row>
    <row r="716" spans="1:18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R716" s="10">
        <f t="shared" si="11"/>
        <v>0</v>
      </c>
    </row>
    <row r="717" spans="1:18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R717" s="10">
        <f t="shared" si="11"/>
        <v>0</v>
      </c>
    </row>
    <row r="718" spans="1:18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R718" s="10">
        <f t="shared" si="11"/>
        <v>0</v>
      </c>
    </row>
    <row r="719" spans="1:18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R719" s="10">
        <f t="shared" si="11"/>
        <v>0</v>
      </c>
    </row>
    <row r="720" spans="1:18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R720" s="10">
        <f t="shared" si="11"/>
        <v>0</v>
      </c>
    </row>
    <row r="721" spans="1:18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R721" s="10">
        <f t="shared" si="11"/>
        <v>1</v>
      </c>
    </row>
    <row r="722" spans="1:18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R722" s="10">
        <f t="shared" si="11"/>
        <v>0</v>
      </c>
    </row>
    <row r="723" spans="1:18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R723" s="10">
        <f t="shared" si="11"/>
        <v>0</v>
      </c>
    </row>
    <row r="724" spans="1:18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R724" s="10">
        <f t="shared" si="11"/>
        <v>0</v>
      </c>
    </row>
    <row r="725" spans="1:18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R725" s="10">
        <f t="shared" si="11"/>
        <v>0</v>
      </c>
    </row>
    <row r="726" spans="1:18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R726" s="10">
        <f t="shared" si="11"/>
        <v>0</v>
      </c>
    </row>
    <row r="727" spans="1:18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R727" s="10">
        <f t="shared" si="11"/>
        <v>0</v>
      </c>
    </row>
    <row r="728" spans="1:18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R728" s="10">
        <f t="shared" si="11"/>
        <v>1</v>
      </c>
    </row>
    <row r="729" spans="1:18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R729" s="10">
        <f t="shared" si="11"/>
        <v>0</v>
      </c>
    </row>
    <row r="730" spans="1:18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R730" s="10">
        <f t="shared" si="11"/>
        <v>0</v>
      </c>
    </row>
    <row r="731" spans="1:18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R731" s="10">
        <f t="shared" si="11"/>
        <v>0</v>
      </c>
    </row>
    <row r="732" spans="1:18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R732" s="10">
        <f t="shared" si="11"/>
        <v>1</v>
      </c>
    </row>
    <row r="733" spans="1:18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R733" s="10">
        <f t="shared" si="11"/>
        <v>1</v>
      </c>
    </row>
    <row r="734" spans="1:18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R734" s="10">
        <f t="shared" si="11"/>
        <v>0</v>
      </c>
    </row>
    <row r="735" spans="1:18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R735" s="10">
        <f t="shared" si="11"/>
        <v>0</v>
      </c>
    </row>
    <row r="736" spans="1:18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R736" s="10">
        <f t="shared" si="11"/>
        <v>1</v>
      </c>
    </row>
    <row r="737" spans="1:18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R737" s="10">
        <f t="shared" si="11"/>
        <v>1</v>
      </c>
    </row>
    <row r="738" spans="1:18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R738" s="10">
        <f t="shared" si="11"/>
        <v>0</v>
      </c>
    </row>
    <row r="739" spans="1:18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R739" s="10">
        <f t="shared" si="11"/>
        <v>0</v>
      </c>
    </row>
    <row r="740" spans="1:18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R740" s="10">
        <f t="shared" si="11"/>
        <v>1</v>
      </c>
    </row>
    <row r="741" spans="1:18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R741" s="10">
        <f t="shared" si="11"/>
        <v>1</v>
      </c>
    </row>
    <row r="742" spans="1:18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R742" s="10">
        <f t="shared" si="11"/>
        <v>1</v>
      </c>
    </row>
    <row r="743" spans="1:18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R743" s="10">
        <f t="shared" si="11"/>
        <v>0</v>
      </c>
    </row>
    <row r="744" spans="1:18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R744" s="10">
        <f t="shared" si="11"/>
        <v>0</v>
      </c>
    </row>
    <row r="745" spans="1:18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R745" s="10">
        <f t="shared" si="11"/>
        <v>0</v>
      </c>
    </row>
    <row r="746" spans="1:18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R746" s="10">
        <f t="shared" si="11"/>
        <v>0</v>
      </c>
    </row>
    <row r="747" spans="1:18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R747" s="10">
        <f t="shared" si="11"/>
        <v>0</v>
      </c>
    </row>
    <row r="748" spans="1:18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R748" s="10">
        <f t="shared" si="11"/>
        <v>0</v>
      </c>
    </row>
    <row r="749" spans="1:18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R749" s="10">
        <f t="shared" si="11"/>
        <v>0</v>
      </c>
    </row>
    <row r="750" spans="1:18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R750" s="10">
        <f t="shared" si="11"/>
        <v>0</v>
      </c>
    </row>
    <row r="751" spans="1:18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R751" s="10">
        <f t="shared" si="11"/>
        <v>0</v>
      </c>
    </row>
    <row r="752" spans="1:18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R752" s="10">
        <f t="shared" si="11"/>
        <v>0</v>
      </c>
    </row>
    <row r="753" spans="1:18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R753" s="10">
        <f t="shared" si="11"/>
        <v>0</v>
      </c>
    </row>
    <row r="754" spans="1:18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R754" s="10">
        <f t="shared" si="11"/>
        <v>0</v>
      </c>
    </row>
    <row r="755" spans="1:18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R755" s="10">
        <f t="shared" si="11"/>
        <v>1</v>
      </c>
    </row>
    <row r="756" spans="1:18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R756" s="10">
        <f t="shared" si="11"/>
        <v>1</v>
      </c>
    </row>
    <row r="757" spans="1:18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R757" s="10">
        <f t="shared" si="11"/>
        <v>0</v>
      </c>
    </row>
    <row r="758" spans="1:18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R758" s="10">
        <f t="shared" si="11"/>
        <v>1</v>
      </c>
    </row>
    <row r="759" spans="1:18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R759" s="10">
        <f t="shared" si="11"/>
        <v>1</v>
      </c>
    </row>
    <row r="760" spans="1:18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R760" s="10">
        <f t="shared" si="11"/>
        <v>0</v>
      </c>
    </row>
    <row r="761" spans="1:18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R761" s="10">
        <f t="shared" si="11"/>
        <v>0</v>
      </c>
    </row>
    <row r="762" spans="1:18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R762" s="10">
        <f t="shared" si="11"/>
        <v>0</v>
      </c>
    </row>
    <row r="763" spans="1:18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R763" s="10">
        <f t="shared" si="11"/>
        <v>0</v>
      </c>
    </row>
    <row r="764" spans="1:18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R764" s="10">
        <f t="shared" si="11"/>
        <v>1</v>
      </c>
    </row>
    <row r="765" spans="1:18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R765" s="10">
        <f t="shared" si="11"/>
        <v>0</v>
      </c>
    </row>
    <row r="766" spans="1:18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R766" s="10">
        <f t="shared" si="11"/>
        <v>1</v>
      </c>
    </row>
    <row r="767" spans="1:18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R767" s="10">
        <f t="shared" si="11"/>
        <v>1</v>
      </c>
    </row>
    <row r="768" spans="1:18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R768" s="10">
        <f t="shared" si="11"/>
        <v>1</v>
      </c>
    </row>
    <row r="769" spans="1:18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R769" s="10">
        <f t="shared" si="11"/>
        <v>0</v>
      </c>
    </row>
    <row r="770" spans="1:18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R770" s="10">
        <f t="shared" si="11"/>
        <v>0</v>
      </c>
    </row>
    <row r="771" spans="1:18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R771" s="10">
        <f t="shared" ref="R771:R834" si="12">IF(M771&gt;0,1,0)</f>
        <v>0</v>
      </c>
    </row>
    <row r="772" spans="1:18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R772" s="10">
        <f t="shared" si="12"/>
        <v>0</v>
      </c>
    </row>
    <row r="773" spans="1:18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R773" s="10">
        <f t="shared" si="12"/>
        <v>0</v>
      </c>
    </row>
    <row r="774" spans="1:18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R774" s="10">
        <f t="shared" si="12"/>
        <v>0</v>
      </c>
    </row>
    <row r="775" spans="1:18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R775" s="10">
        <f t="shared" si="12"/>
        <v>0</v>
      </c>
    </row>
    <row r="776" spans="1:18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R776" s="10">
        <f t="shared" si="12"/>
        <v>1</v>
      </c>
    </row>
    <row r="777" spans="1:18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R777" s="10">
        <f t="shared" si="12"/>
        <v>0</v>
      </c>
    </row>
    <row r="778" spans="1:18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R778" s="10">
        <f t="shared" si="12"/>
        <v>0</v>
      </c>
    </row>
    <row r="779" spans="1:18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R779" s="10">
        <f t="shared" si="12"/>
        <v>0</v>
      </c>
    </row>
    <row r="780" spans="1:18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R780" s="10">
        <f t="shared" si="12"/>
        <v>0</v>
      </c>
    </row>
    <row r="781" spans="1:18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R781" s="10">
        <f t="shared" si="12"/>
        <v>0</v>
      </c>
    </row>
    <row r="782" spans="1:18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R782" s="10">
        <f t="shared" si="12"/>
        <v>0</v>
      </c>
    </row>
    <row r="783" spans="1:18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R783" s="10">
        <f t="shared" si="12"/>
        <v>0</v>
      </c>
    </row>
    <row r="784" spans="1:18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R784" s="10">
        <f t="shared" si="12"/>
        <v>0</v>
      </c>
    </row>
    <row r="785" spans="1:18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R785" s="10">
        <f t="shared" si="12"/>
        <v>0</v>
      </c>
    </row>
    <row r="786" spans="1:18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R786" s="10">
        <f t="shared" si="12"/>
        <v>0</v>
      </c>
    </row>
    <row r="787" spans="1:18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R787" s="10">
        <f t="shared" si="12"/>
        <v>0</v>
      </c>
    </row>
    <row r="788" spans="1:18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R788" s="10">
        <f t="shared" si="12"/>
        <v>0</v>
      </c>
    </row>
    <row r="789" spans="1:18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R789" s="10">
        <f t="shared" si="12"/>
        <v>0</v>
      </c>
    </row>
    <row r="790" spans="1:18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R790" s="10">
        <f t="shared" si="12"/>
        <v>0</v>
      </c>
    </row>
    <row r="791" spans="1:18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R791" s="10">
        <f t="shared" si="12"/>
        <v>0</v>
      </c>
    </row>
    <row r="792" spans="1:18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R792" s="10">
        <f t="shared" si="12"/>
        <v>0</v>
      </c>
    </row>
    <row r="793" spans="1:18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R793" s="10">
        <f t="shared" si="12"/>
        <v>1</v>
      </c>
    </row>
    <row r="794" spans="1:18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R794" s="10">
        <f t="shared" si="12"/>
        <v>0</v>
      </c>
    </row>
    <row r="795" spans="1:18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R795" s="10">
        <f t="shared" si="12"/>
        <v>0</v>
      </c>
    </row>
    <row r="796" spans="1:18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R796" s="10">
        <f t="shared" si="12"/>
        <v>1</v>
      </c>
    </row>
    <row r="797" spans="1:18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R797" s="10">
        <f t="shared" si="12"/>
        <v>0</v>
      </c>
    </row>
    <row r="798" spans="1:18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R798" s="10">
        <f t="shared" si="12"/>
        <v>0</v>
      </c>
    </row>
    <row r="799" spans="1:18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R799" s="10">
        <f t="shared" si="12"/>
        <v>1</v>
      </c>
    </row>
    <row r="800" spans="1:18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R800" s="10">
        <f t="shared" si="12"/>
        <v>0</v>
      </c>
    </row>
    <row r="801" spans="1:18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R801" s="10">
        <f t="shared" si="12"/>
        <v>0</v>
      </c>
    </row>
    <row r="802" spans="1:18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R802" s="10">
        <f t="shared" si="12"/>
        <v>0</v>
      </c>
    </row>
    <row r="803" spans="1:18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R803" s="10">
        <f t="shared" si="12"/>
        <v>0</v>
      </c>
    </row>
    <row r="804" spans="1:18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R804" s="10">
        <f t="shared" si="12"/>
        <v>0</v>
      </c>
    </row>
    <row r="805" spans="1:18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R805" s="10">
        <f t="shared" si="12"/>
        <v>1</v>
      </c>
    </row>
    <row r="806" spans="1:18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R806" s="10">
        <f t="shared" si="12"/>
        <v>0</v>
      </c>
    </row>
    <row r="807" spans="1:18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R807" s="10">
        <f t="shared" si="12"/>
        <v>1</v>
      </c>
    </row>
    <row r="808" spans="1:18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R808" s="10">
        <f t="shared" si="12"/>
        <v>0</v>
      </c>
    </row>
    <row r="809" spans="1:18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R809" s="10">
        <f t="shared" si="12"/>
        <v>0</v>
      </c>
    </row>
    <row r="810" spans="1:18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R810" s="10">
        <f t="shared" si="12"/>
        <v>0</v>
      </c>
    </row>
    <row r="811" spans="1:18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R811" s="10">
        <f t="shared" si="12"/>
        <v>0</v>
      </c>
    </row>
    <row r="812" spans="1:18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R812" s="10">
        <f t="shared" si="12"/>
        <v>1</v>
      </c>
    </row>
    <row r="813" spans="1:18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R813" s="10">
        <f t="shared" si="12"/>
        <v>0</v>
      </c>
    </row>
    <row r="814" spans="1:18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R814" s="10">
        <f t="shared" si="12"/>
        <v>0</v>
      </c>
    </row>
    <row r="815" spans="1:18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R815" s="10">
        <f t="shared" si="12"/>
        <v>1</v>
      </c>
    </row>
    <row r="816" spans="1:18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R816" s="10">
        <f t="shared" si="12"/>
        <v>0</v>
      </c>
    </row>
    <row r="817" spans="1:18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R817" s="10">
        <f t="shared" si="12"/>
        <v>0</v>
      </c>
    </row>
    <row r="818" spans="1:18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R818" s="10">
        <f t="shared" si="12"/>
        <v>0</v>
      </c>
    </row>
    <row r="819" spans="1:18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R819" s="10">
        <f t="shared" si="12"/>
        <v>0</v>
      </c>
    </row>
    <row r="820" spans="1:18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R820" s="10">
        <f t="shared" si="12"/>
        <v>1</v>
      </c>
    </row>
    <row r="821" spans="1:18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R821" s="10">
        <f t="shared" si="12"/>
        <v>0</v>
      </c>
    </row>
    <row r="822" spans="1:18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R822" s="10">
        <f t="shared" si="12"/>
        <v>0</v>
      </c>
    </row>
    <row r="823" spans="1:18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R823" s="10">
        <f t="shared" si="12"/>
        <v>1</v>
      </c>
    </row>
    <row r="824" spans="1:18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R824" s="10">
        <f t="shared" si="12"/>
        <v>1</v>
      </c>
    </row>
    <row r="825" spans="1:18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R825" s="10">
        <f t="shared" si="12"/>
        <v>0</v>
      </c>
    </row>
    <row r="826" spans="1:18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R826" s="10">
        <f t="shared" si="12"/>
        <v>1</v>
      </c>
    </row>
    <row r="827" spans="1:18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R827" s="10">
        <f t="shared" si="12"/>
        <v>1</v>
      </c>
    </row>
    <row r="828" spans="1:18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R828" s="10">
        <f t="shared" si="12"/>
        <v>0</v>
      </c>
    </row>
    <row r="829" spans="1:18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R829" s="10">
        <f t="shared" si="12"/>
        <v>0</v>
      </c>
    </row>
    <row r="830" spans="1:18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R830" s="10">
        <f t="shared" si="12"/>
        <v>0</v>
      </c>
    </row>
    <row r="831" spans="1:18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R831" s="10">
        <f t="shared" si="12"/>
        <v>0</v>
      </c>
    </row>
    <row r="832" spans="1:18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R832" s="10">
        <f t="shared" si="12"/>
        <v>0</v>
      </c>
    </row>
    <row r="833" spans="1:18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R833" s="10">
        <f t="shared" si="12"/>
        <v>0</v>
      </c>
    </row>
    <row r="834" spans="1:18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R834" s="10">
        <f t="shared" si="12"/>
        <v>0</v>
      </c>
    </row>
    <row r="835" spans="1:18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R835" s="10">
        <f t="shared" ref="R835:R898" si="13">IF(M835&gt;0,1,0)</f>
        <v>1</v>
      </c>
    </row>
    <row r="836" spans="1:18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R836" s="10">
        <f t="shared" si="13"/>
        <v>0</v>
      </c>
    </row>
    <row r="837" spans="1:18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R837" s="10">
        <f t="shared" si="13"/>
        <v>0</v>
      </c>
    </row>
    <row r="838" spans="1:18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R838" s="10">
        <f t="shared" si="13"/>
        <v>0</v>
      </c>
    </row>
    <row r="839" spans="1:18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R839" s="10">
        <f t="shared" si="13"/>
        <v>1</v>
      </c>
    </row>
    <row r="840" spans="1:18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R840" s="10">
        <f t="shared" si="13"/>
        <v>0</v>
      </c>
    </row>
    <row r="841" spans="1:18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R841" s="10">
        <f t="shared" si="13"/>
        <v>0</v>
      </c>
    </row>
    <row r="842" spans="1:18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R842" s="10">
        <f t="shared" si="13"/>
        <v>0</v>
      </c>
    </row>
    <row r="843" spans="1:18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R843" s="10">
        <f t="shared" si="13"/>
        <v>0</v>
      </c>
    </row>
    <row r="844" spans="1:18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R844" s="10">
        <f t="shared" si="13"/>
        <v>0</v>
      </c>
    </row>
    <row r="845" spans="1:18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R845" s="10">
        <f t="shared" si="13"/>
        <v>0</v>
      </c>
    </row>
    <row r="846" spans="1:18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R846" s="10">
        <f t="shared" si="13"/>
        <v>0</v>
      </c>
    </row>
    <row r="847" spans="1:18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R847" s="10">
        <f t="shared" si="13"/>
        <v>0</v>
      </c>
    </row>
    <row r="848" spans="1:18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R848" s="10">
        <f t="shared" si="13"/>
        <v>0</v>
      </c>
    </row>
    <row r="849" spans="1:18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R849" s="10">
        <f t="shared" si="13"/>
        <v>0</v>
      </c>
    </row>
    <row r="850" spans="1:18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R850" s="10">
        <f t="shared" si="13"/>
        <v>0</v>
      </c>
    </row>
    <row r="851" spans="1:18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R851" s="10">
        <f t="shared" si="13"/>
        <v>0</v>
      </c>
    </row>
    <row r="852" spans="1:18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R852" s="10">
        <f t="shared" si="13"/>
        <v>0</v>
      </c>
    </row>
    <row r="853" spans="1:18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R853" s="10">
        <f t="shared" si="13"/>
        <v>0</v>
      </c>
    </row>
    <row r="854" spans="1:18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R854" s="10">
        <f t="shared" si="13"/>
        <v>0</v>
      </c>
    </row>
    <row r="855" spans="1:18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R855" s="10">
        <f t="shared" si="13"/>
        <v>0</v>
      </c>
    </row>
    <row r="856" spans="1:18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R856" s="10">
        <f t="shared" si="13"/>
        <v>0</v>
      </c>
    </row>
    <row r="857" spans="1:18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R857" s="10">
        <f t="shared" si="13"/>
        <v>0</v>
      </c>
    </row>
    <row r="858" spans="1:18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R858" s="10">
        <f t="shared" si="13"/>
        <v>1</v>
      </c>
    </row>
    <row r="859" spans="1:18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R859" s="10">
        <f t="shared" si="13"/>
        <v>0</v>
      </c>
    </row>
    <row r="860" spans="1:18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R860" s="10">
        <f t="shared" si="13"/>
        <v>0</v>
      </c>
    </row>
    <row r="861" spans="1:18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R861" s="10">
        <f t="shared" si="13"/>
        <v>1</v>
      </c>
    </row>
    <row r="862" spans="1:18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R862" s="10">
        <f t="shared" si="13"/>
        <v>0</v>
      </c>
    </row>
    <row r="863" spans="1:18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R863" s="10">
        <f t="shared" si="13"/>
        <v>0</v>
      </c>
    </row>
    <row r="864" spans="1:18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R864" s="10">
        <f t="shared" si="13"/>
        <v>0</v>
      </c>
    </row>
    <row r="865" spans="1:18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R865" s="10">
        <f t="shared" si="13"/>
        <v>1</v>
      </c>
    </row>
    <row r="866" spans="1:18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R866" s="10">
        <f t="shared" si="13"/>
        <v>1</v>
      </c>
    </row>
    <row r="867" spans="1:18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R867" s="10">
        <f t="shared" si="13"/>
        <v>1</v>
      </c>
    </row>
    <row r="868" spans="1:18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R868" s="10">
        <f t="shared" si="13"/>
        <v>0</v>
      </c>
    </row>
    <row r="869" spans="1:18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R869" s="10">
        <f t="shared" si="13"/>
        <v>0</v>
      </c>
    </row>
    <row r="870" spans="1:18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R870" s="10">
        <f t="shared" si="13"/>
        <v>0</v>
      </c>
    </row>
    <row r="871" spans="1:18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R871" s="10">
        <f t="shared" si="13"/>
        <v>1</v>
      </c>
    </row>
    <row r="872" spans="1:18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R872" s="10">
        <f t="shared" si="13"/>
        <v>0</v>
      </c>
    </row>
    <row r="873" spans="1:18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R873" s="10">
        <f t="shared" si="13"/>
        <v>1</v>
      </c>
    </row>
    <row r="874" spans="1:18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R874" s="10">
        <f t="shared" si="13"/>
        <v>0</v>
      </c>
    </row>
    <row r="875" spans="1:18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R875" s="10">
        <f t="shared" si="13"/>
        <v>0</v>
      </c>
    </row>
    <row r="876" spans="1:18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R876" s="10">
        <f t="shared" si="13"/>
        <v>1</v>
      </c>
    </row>
    <row r="877" spans="1:18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R877" s="10">
        <f t="shared" si="13"/>
        <v>0</v>
      </c>
    </row>
    <row r="878" spans="1:18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R878" s="10">
        <f t="shared" si="13"/>
        <v>0</v>
      </c>
    </row>
    <row r="879" spans="1:18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R879" s="10">
        <f t="shared" si="13"/>
        <v>0</v>
      </c>
    </row>
    <row r="880" spans="1:18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R880" s="10">
        <f t="shared" si="13"/>
        <v>0</v>
      </c>
    </row>
    <row r="881" spans="1:18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R881" s="10">
        <f t="shared" si="13"/>
        <v>0</v>
      </c>
    </row>
    <row r="882" spans="1:18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R882" s="10">
        <f t="shared" si="13"/>
        <v>0</v>
      </c>
    </row>
    <row r="883" spans="1:18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R883" s="10">
        <f t="shared" si="13"/>
        <v>0</v>
      </c>
    </row>
    <row r="884" spans="1:18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R884" s="10">
        <f t="shared" si="13"/>
        <v>0</v>
      </c>
    </row>
    <row r="885" spans="1:18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R885" s="10">
        <f t="shared" si="13"/>
        <v>1</v>
      </c>
    </row>
    <row r="886" spans="1:18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R886" s="10">
        <f t="shared" si="13"/>
        <v>0</v>
      </c>
    </row>
    <row r="887" spans="1:18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R887" s="10">
        <f t="shared" si="13"/>
        <v>0</v>
      </c>
    </row>
    <row r="888" spans="1:18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R888" s="10">
        <f t="shared" si="13"/>
        <v>0</v>
      </c>
    </row>
    <row r="889" spans="1:18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R889" s="10">
        <f t="shared" si="13"/>
        <v>0</v>
      </c>
    </row>
    <row r="890" spans="1:18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R890" s="10">
        <f t="shared" si="13"/>
        <v>0</v>
      </c>
    </row>
    <row r="891" spans="1:18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R891" s="10">
        <f t="shared" si="13"/>
        <v>0</v>
      </c>
    </row>
    <row r="892" spans="1:18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R892" s="10">
        <f t="shared" si="13"/>
        <v>0</v>
      </c>
    </row>
    <row r="893" spans="1:18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R893" s="10">
        <f t="shared" si="13"/>
        <v>0</v>
      </c>
    </row>
    <row r="894" spans="1:18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R894" s="10">
        <f t="shared" si="13"/>
        <v>0</v>
      </c>
    </row>
    <row r="895" spans="1:18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R895" s="10">
        <f t="shared" si="13"/>
        <v>0</v>
      </c>
    </row>
    <row r="896" spans="1:18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R896" s="10">
        <f t="shared" si="13"/>
        <v>1</v>
      </c>
    </row>
    <row r="897" spans="1:18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R897" s="10">
        <f t="shared" si="13"/>
        <v>0</v>
      </c>
    </row>
    <row r="898" spans="1:18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R898" s="10">
        <f t="shared" si="13"/>
        <v>0</v>
      </c>
    </row>
    <row r="899" spans="1:18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R899" s="10">
        <f t="shared" ref="R899:R962" si="14">IF(M899&gt;0,1,0)</f>
        <v>0</v>
      </c>
    </row>
    <row r="900" spans="1:18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R900" s="10">
        <f t="shared" si="14"/>
        <v>0</v>
      </c>
    </row>
    <row r="901" spans="1:18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R901" s="10">
        <f t="shared" si="14"/>
        <v>1</v>
      </c>
    </row>
    <row r="902" spans="1:18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R902" s="10">
        <f t="shared" si="14"/>
        <v>0</v>
      </c>
    </row>
    <row r="903" spans="1:18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R903" s="10">
        <f t="shared" si="14"/>
        <v>0</v>
      </c>
    </row>
    <row r="904" spans="1:18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R904" s="10">
        <f t="shared" si="14"/>
        <v>1</v>
      </c>
    </row>
    <row r="905" spans="1:18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R905" s="10">
        <f t="shared" si="14"/>
        <v>0</v>
      </c>
    </row>
    <row r="906" spans="1:18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R906" s="10">
        <f t="shared" si="14"/>
        <v>0</v>
      </c>
    </row>
    <row r="907" spans="1:18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R907" s="10">
        <f t="shared" si="14"/>
        <v>0</v>
      </c>
    </row>
    <row r="908" spans="1:18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R908" s="10">
        <f t="shared" si="14"/>
        <v>0</v>
      </c>
    </row>
    <row r="909" spans="1:18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R909" s="10">
        <f t="shared" si="14"/>
        <v>0</v>
      </c>
    </row>
    <row r="910" spans="1:18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R910" s="10">
        <f t="shared" si="14"/>
        <v>1</v>
      </c>
    </row>
    <row r="911" spans="1:18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R911" s="10">
        <f t="shared" si="14"/>
        <v>0</v>
      </c>
    </row>
    <row r="912" spans="1:18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R912" s="10">
        <f t="shared" si="14"/>
        <v>0</v>
      </c>
    </row>
    <row r="913" spans="1:18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R913" s="10">
        <f t="shared" si="14"/>
        <v>1</v>
      </c>
    </row>
    <row r="914" spans="1:18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R914" s="10">
        <f t="shared" si="14"/>
        <v>0</v>
      </c>
    </row>
    <row r="915" spans="1:18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R915" s="10">
        <f t="shared" si="14"/>
        <v>0</v>
      </c>
    </row>
    <row r="916" spans="1:18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R916" s="10">
        <f t="shared" si="14"/>
        <v>0</v>
      </c>
    </row>
    <row r="917" spans="1:18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R917" s="10">
        <f t="shared" si="14"/>
        <v>0</v>
      </c>
    </row>
    <row r="918" spans="1:18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R918" s="10">
        <f t="shared" si="14"/>
        <v>0</v>
      </c>
    </row>
    <row r="919" spans="1:18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R919" s="10">
        <f t="shared" si="14"/>
        <v>0</v>
      </c>
    </row>
    <row r="920" spans="1:18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R920" s="10">
        <f t="shared" si="14"/>
        <v>0</v>
      </c>
    </row>
    <row r="921" spans="1:18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R921" s="10">
        <f t="shared" si="14"/>
        <v>0</v>
      </c>
    </row>
    <row r="922" spans="1:18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R922" s="10">
        <f t="shared" si="14"/>
        <v>0</v>
      </c>
    </row>
    <row r="923" spans="1:18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R923" s="10">
        <f t="shared" si="14"/>
        <v>0</v>
      </c>
    </row>
    <row r="924" spans="1:18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R924" s="10">
        <f t="shared" si="14"/>
        <v>0</v>
      </c>
    </row>
    <row r="925" spans="1:18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R925" s="10">
        <f t="shared" si="14"/>
        <v>0</v>
      </c>
    </row>
    <row r="926" spans="1:18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R926" s="10">
        <f t="shared" si="14"/>
        <v>0</v>
      </c>
    </row>
    <row r="927" spans="1:18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R927" s="10">
        <f t="shared" si="14"/>
        <v>0</v>
      </c>
    </row>
    <row r="928" spans="1:18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R928" s="10">
        <f t="shared" si="14"/>
        <v>0</v>
      </c>
    </row>
    <row r="929" spans="1:18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R929" s="10">
        <f t="shared" si="14"/>
        <v>0</v>
      </c>
    </row>
    <row r="930" spans="1:18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R930" s="10">
        <f t="shared" si="14"/>
        <v>0</v>
      </c>
    </row>
    <row r="931" spans="1:18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R931" s="10">
        <f t="shared" si="14"/>
        <v>0</v>
      </c>
    </row>
    <row r="932" spans="1:18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R932" s="10">
        <f t="shared" si="14"/>
        <v>0</v>
      </c>
    </row>
    <row r="933" spans="1:18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R933" s="10">
        <f t="shared" si="14"/>
        <v>1</v>
      </c>
    </row>
    <row r="934" spans="1:18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R934" s="10">
        <f t="shared" si="14"/>
        <v>0</v>
      </c>
    </row>
    <row r="935" spans="1:18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R935" s="10">
        <f t="shared" si="14"/>
        <v>0</v>
      </c>
    </row>
    <row r="936" spans="1:18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R936" s="10">
        <f t="shared" si="14"/>
        <v>0</v>
      </c>
    </row>
    <row r="937" spans="1:18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R937" s="10">
        <f t="shared" si="14"/>
        <v>0</v>
      </c>
    </row>
    <row r="938" spans="1:18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R938" s="10">
        <f t="shared" si="14"/>
        <v>0</v>
      </c>
    </row>
    <row r="939" spans="1:18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R939" s="10">
        <f t="shared" si="14"/>
        <v>0</v>
      </c>
    </row>
    <row r="940" spans="1:18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R940" s="10">
        <f t="shared" si="14"/>
        <v>0</v>
      </c>
    </row>
    <row r="941" spans="1:18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R941" s="10">
        <f t="shared" si="14"/>
        <v>0</v>
      </c>
    </row>
    <row r="942" spans="1:18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R942" s="10">
        <f t="shared" si="14"/>
        <v>1</v>
      </c>
    </row>
    <row r="943" spans="1:18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R943" s="10">
        <f t="shared" si="14"/>
        <v>0</v>
      </c>
    </row>
    <row r="944" spans="1:18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R944" s="10">
        <f t="shared" si="14"/>
        <v>1</v>
      </c>
    </row>
    <row r="945" spans="1:18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R945" s="10">
        <f t="shared" si="14"/>
        <v>0</v>
      </c>
    </row>
    <row r="946" spans="1:18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R946" s="10">
        <f t="shared" si="14"/>
        <v>0</v>
      </c>
    </row>
    <row r="947" spans="1:18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R947" s="10">
        <f t="shared" si="14"/>
        <v>1</v>
      </c>
    </row>
    <row r="948" spans="1:18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R948" s="10">
        <f t="shared" si="14"/>
        <v>0</v>
      </c>
    </row>
    <row r="949" spans="1:18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R949" s="10">
        <f t="shared" si="14"/>
        <v>0</v>
      </c>
    </row>
    <row r="950" spans="1:18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R950" s="10">
        <f t="shared" si="14"/>
        <v>0</v>
      </c>
    </row>
    <row r="951" spans="1:18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R951" s="10">
        <f t="shared" si="14"/>
        <v>0</v>
      </c>
    </row>
    <row r="952" spans="1:18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R952" s="10">
        <f t="shared" si="14"/>
        <v>0</v>
      </c>
    </row>
    <row r="953" spans="1:18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R953" s="10">
        <f t="shared" si="14"/>
        <v>0</v>
      </c>
    </row>
    <row r="954" spans="1:18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R954" s="10">
        <f t="shared" si="14"/>
        <v>1</v>
      </c>
    </row>
    <row r="955" spans="1:18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R955" s="10">
        <f t="shared" si="14"/>
        <v>1</v>
      </c>
    </row>
    <row r="956" spans="1:18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R956" s="10">
        <f t="shared" si="14"/>
        <v>0</v>
      </c>
    </row>
    <row r="957" spans="1:18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R957" s="10">
        <f t="shared" si="14"/>
        <v>1</v>
      </c>
    </row>
    <row r="958" spans="1:18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R958" s="10">
        <f t="shared" si="14"/>
        <v>0</v>
      </c>
    </row>
    <row r="959" spans="1:18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R959" s="10">
        <f t="shared" si="14"/>
        <v>1</v>
      </c>
    </row>
    <row r="960" spans="1:18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R960" s="10">
        <f t="shared" si="14"/>
        <v>0</v>
      </c>
    </row>
    <row r="961" spans="1:18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R961" s="10">
        <f t="shared" si="14"/>
        <v>1</v>
      </c>
    </row>
    <row r="962" spans="1:18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R962" s="10">
        <f t="shared" si="14"/>
        <v>1</v>
      </c>
    </row>
    <row r="963" spans="1:18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R963" s="10">
        <f t="shared" ref="R963:R1026" si="15">IF(M963&gt;0,1,0)</f>
        <v>0</v>
      </c>
    </row>
    <row r="964" spans="1:18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R964" s="10">
        <f t="shared" si="15"/>
        <v>1</v>
      </c>
    </row>
    <row r="965" spans="1:18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R965" s="10">
        <f t="shared" si="15"/>
        <v>0</v>
      </c>
    </row>
    <row r="966" spans="1:18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R966" s="10">
        <f t="shared" si="15"/>
        <v>0</v>
      </c>
    </row>
    <row r="967" spans="1:18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R967" s="10">
        <f t="shared" si="15"/>
        <v>0</v>
      </c>
    </row>
    <row r="968" spans="1:18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R968" s="10">
        <f t="shared" si="15"/>
        <v>0</v>
      </c>
    </row>
    <row r="969" spans="1:18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R969" s="10">
        <f t="shared" si="15"/>
        <v>0</v>
      </c>
    </row>
    <row r="970" spans="1:18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R970" s="10">
        <f t="shared" si="15"/>
        <v>0</v>
      </c>
    </row>
    <row r="971" spans="1:18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R971" s="10">
        <f t="shared" si="15"/>
        <v>1</v>
      </c>
    </row>
    <row r="972" spans="1:18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R972" s="10">
        <f t="shared" si="15"/>
        <v>0</v>
      </c>
    </row>
    <row r="973" spans="1:18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R973" s="10">
        <f t="shared" si="15"/>
        <v>0</v>
      </c>
    </row>
    <row r="974" spans="1:18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R974" s="10">
        <f t="shared" si="15"/>
        <v>0</v>
      </c>
    </row>
    <row r="975" spans="1:18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R975" s="10">
        <f t="shared" si="15"/>
        <v>0</v>
      </c>
    </row>
    <row r="976" spans="1:18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R976" s="10">
        <f t="shared" si="15"/>
        <v>0</v>
      </c>
    </row>
    <row r="977" spans="1:18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R977" s="10">
        <f t="shared" si="15"/>
        <v>0</v>
      </c>
    </row>
    <row r="978" spans="1:18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R978" s="10">
        <f t="shared" si="15"/>
        <v>0</v>
      </c>
    </row>
    <row r="979" spans="1:18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R979" s="10">
        <f t="shared" si="15"/>
        <v>1</v>
      </c>
    </row>
    <row r="980" spans="1:18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R980" s="10">
        <f t="shared" si="15"/>
        <v>0</v>
      </c>
    </row>
    <row r="981" spans="1:18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R981" s="10">
        <f t="shared" si="15"/>
        <v>1</v>
      </c>
    </row>
    <row r="982" spans="1:18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R982" s="10">
        <f t="shared" si="15"/>
        <v>0</v>
      </c>
    </row>
    <row r="983" spans="1:18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R983" s="10">
        <f t="shared" si="15"/>
        <v>1</v>
      </c>
    </row>
    <row r="984" spans="1:18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R984" s="10">
        <f t="shared" si="15"/>
        <v>0</v>
      </c>
    </row>
    <row r="985" spans="1:18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R985" s="10">
        <f t="shared" si="15"/>
        <v>0</v>
      </c>
    </row>
    <row r="986" spans="1:18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R986" s="10">
        <f t="shared" si="15"/>
        <v>0</v>
      </c>
    </row>
    <row r="987" spans="1:18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R987" s="10">
        <f t="shared" si="15"/>
        <v>0</v>
      </c>
    </row>
    <row r="988" spans="1:18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R988" s="10">
        <f t="shared" si="15"/>
        <v>1</v>
      </c>
    </row>
    <row r="989" spans="1:18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R989" s="10">
        <f t="shared" si="15"/>
        <v>0</v>
      </c>
    </row>
    <row r="990" spans="1:18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R990" s="10">
        <f t="shared" si="15"/>
        <v>0</v>
      </c>
    </row>
    <row r="991" spans="1:18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R991" s="10">
        <f t="shared" si="15"/>
        <v>1</v>
      </c>
    </row>
    <row r="992" spans="1:18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R992" s="10">
        <f t="shared" si="15"/>
        <v>0</v>
      </c>
    </row>
    <row r="993" spans="1:18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R993" s="10">
        <f t="shared" si="15"/>
        <v>0</v>
      </c>
    </row>
    <row r="994" spans="1:18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R994" s="10">
        <f t="shared" si="15"/>
        <v>0</v>
      </c>
    </row>
    <row r="995" spans="1:18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R995" s="10">
        <f t="shared" si="15"/>
        <v>0</v>
      </c>
    </row>
    <row r="996" spans="1:18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R996" s="10">
        <f t="shared" si="15"/>
        <v>0</v>
      </c>
    </row>
    <row r="997" spans="1:18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R997" s="10">
        <f t="shared" si="15"/>
        <v>1</v>
      </c>
    </row>
    <row r="998" spans="1:18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R998" s="10">
        <f t="shared" si="15"/>
        <v>0</v>
      </c>
    </row>
    <row r="999" spans="1:18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R999" s="10">
        <f t="shared" si="15"/>
        <v>0</v>
      </c>
    </row>
    <row r="1000" spans="1:18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R1000" s="10">
        <f t="shared" si="15"/>
        <v>0</v>
      </c>
    </row>
    <row r="1001" spans="1:18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R1001" s="10">
        <f t="shared" si="15"/>
        <v>1</v>
      </c>
    </row>
    <row r="1002" spans="1:18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R1002" s="10">
        <f t="shared" si="15"/>
        <v>0</v>
      </c>
    </row>
    <row r="1003" spans="1:18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R1003" s="10">
        <f t="shared" si="15"/>
        <v>1</v>
      </c>
    </row>
    <row r="1004" spans="1:18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R1004" s="10">
        <f t="shared" si="15"/>
        <v>0</v>
      </c>
    </row>
    <row r="1005" spans="1:18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R1005" s="10">
        <f t="shared" si="15"/>
        <v>1</v>
      </c>
    </row>
    <row r="1006" spans="1:18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R1006" s="10">
        <f t="shared" si="15"/>
        <v>0</v>
      </c>
    </row>
    <row r="1007" spans="1:18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R1007" s="10">
        <f t="shared" si="15"/>
        <v>0</v>
      </c>
    </row>
    <row r="1008" spans="1:18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R1008" s="10">
        <f t="shared" si="15"/>
        <v>0</v>
      </c>
    </row>
    <row r="1009" spans="1:18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R1009" s="10">
        <f t="shared" si="15"/>
        <v>0</v>
      </c>
    </row>
    <row r="1010" spans="1:18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R1010" s="10">
        <f t="shared" si="15"/>
        <v>0</v>
      </c>
    </row>
    <row r="1011" spans="1:18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R1011" s="10">
        <f t="shared" si="15"/>
        <v>0</v>
      </c>
    </row>
    <row r="1012" spans="1:18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R1012" s="10">
        <f t="shared" si="15"/>
        <v>1</v>
      </c>
    </row>
    <row r="1013" spans="1:18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R1013" s="10">
        <f t="shared" si="15"/>
        <v>1</v>
      </c>
    </row>
    <row r="1014" spans="1:18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R1014" s="10">
        <f t="shared" si="15"/>
        <v>0</v>
      </c>
    </row>
    <row r="1015" spans="1:18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R1015" s="10">
        <f t="shared" si="15"/>
        <v>0</v>
      </c>
    </row>
    <row r="1016" spans="1:18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R1016" s="10">
        <f t="shared" si="15"/>
        <v>0</v>
      </c>
    </row>
    <row r="1017" spans="1:18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R1017" s="10">
        <f t="shared" si="15"/>
        <v>0</v>
      </c>
    </row>
    <row r="1018" spans="1:18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R1018" s="10">
        <f t="shared" si="15"/>
        <v>1</v>
      </c>
    </row>
    <row r="1019" spans="1:18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R1019" s="10">
        <f t="shared" si="15"/>
        <v>0</v>
      </c>
    </row>
    <row r="1020" spans="1:18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R1020" s="10">
        <f t="shared" si="15"/>
        <v>0</v>
      </c>
    </row>
    <row r="1021" spans="1:18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R1021" s="10">
        <f t="shared" si="15"/>
        <v>0</v>
      </c>
    </row>
    <row r="1022" spans="1:18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R1022" s="10">
        <f t="shared" si="15"/>
        <v>0</v>
      </c>
    </row>
    <row r="1023" spans="1:18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R1023" s="10">
        <f t="shared" si="15"/>
        <v>0</v>
      </c>
    </row>
    <row r="1024" spans="1:18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R1024" s="10">
        <f t="shared" si="15"/>
        <v>0</v>
      </c>
    </row>
    <row r="1025" spans="1:18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R1025" s="10">
        <f t="shared" si="15"/>
        <v>0</v>
      </c>
    </row>
    <row r="1026" spans="1:18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R1026" s="10">
        <f t="shared" si="15"/>
        <v>0</v>
      </c>
    </row>
    <row r="1027" spans="1:18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R1027" s="10">
        <f t="shared" ref="R1027:R1090" si="16">IF(M1027&gt;0,1,0)</f>
        <v>0</v>
      </c>
    </row>
    <row r="1028" spans="1:18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R1028" s="10">
        <f t="shared" si="16"/>
        <v>0</v>
      </c>
    </row>
    <row r="1029" spans="1:18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R1029" s="10">
        <f t="shared" si="16"/>
        <v>1</v>
      </c>
    </row>
    <row r="1030" spans="1:18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R1030" s="10">
        <f t="shared" si="16"/>
        <v>1</v>
      </c>
    </row>
    <row r="1031" spans="1:18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R1031" s="10">
        <f t="shared" si="16"/>
        <v>0</v>
      </c>
    </row>
    <row r="1032" spans="1:18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R1032" s="10">
        <f t="shared" si="16"/>
        <v>0</v>
      </c>
    </row>
    <row r="1033" spans="1:18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R1033" s="10">
        <f t="shared" si="16"/>
        <v>0</v>
      </c>
    </row>
    <row r="1034" spans="1:18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R1034" s="10">
        <f t="shared" si="16"/>
        <v>0</v>
      </c>
    </row>
    <row r="1035" spans="1:18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R1035" s="10">
        <f t="shared" si="16"/>
        <v>0</v>
      </c>
    </row>
    <row r="1036" spans="1:18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R1036" s="10">
        <f t="shared" si="16"/>
        <v>0</v>
      </c>
    </row>
    <row r="1037" spans="1:18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R1037" s="10">
        <f t="shared" si="16"/>
        <v>0</v>
      </c>
    </row>
    <row r="1038" spans="1:18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R1038" s="10">
        <f t="shared" si="16"/>
        <v>0</v>
      </c>
    </row>
    <row r="1039" spans="1:18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R1039" s="10">
        <f t="shared" si="16"/>
        <v>1</v>
      </c>
    </row>
    <row r="1040" spans="1:18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R1040" s="10">
        <f t="shared" si="16"/>
        <v>1</v>
      </c>
    </row>
    <row r="1041" spans="1:18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R1041" s="10">
        <f t="shared" si="16"/>
        <v>0</v>
      </c>
    </row>
    <row r="1042" spans="1:18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R1042" s="10">
        <f t="shared" si="16"/>
        <v>0</v>
      </c>
    </row>
    <row r="1043" spans="1:18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R1043" s="10">
        <f t="shared" si="16"/>
        <v>1</v>
      </c>
    </row>
    <row r="1044" spans="1:18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R1044" s="10">
        <f t="shared" si="16"/>
        <v>1</v>
      </c>
    </row>
    <row r="1045" spans="1:18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R1045" s="10">
        <f t="shared" si="16"/>
        <v>0</v>
      </c>
    </row>
    <row r="1046" spans="1:18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R1046" s="10">
        <f t="shared" si="16"/>
        <v>0</v>
      </c>
    </row>
    <row r="1047" spans="1:18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R1047" s="10">
        <f t="shared" si="16"/>
        <v>0</v>
      </c>
    </row>
    <row r="1048" spans="1:18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R1048" s="10">
        <f t="shared" si="16"/>
        <v>0</v>
      </c>
    </row>
    <row r="1049" spans="1:18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R1049" s="10">
        <f t="shared" si="16"/>
        <v>0</v>
      </c>
    </row>
    <row r="1050" spans="1:18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R1050" s="10">
        <f t="shared" si="16"/>
        <v>0</v>
      </c>
    </row>
    <row r="1051" spans="1:18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R1051" s="10">
        <f t="shared" si="16"/>
        <v>1</v>
      </c>
    </row>
    <row r="1052" spans="1:18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R1052" s="10">
        <f t="shared" si="16"/>
        <v>0</v>
      </c>
    </row>
    <row r="1053" spans="1:18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R1053" s="10">
        <f t="shared" si="16"/>
        <v>0</v>
      </c>
    </row>
    <row r="1054" spans="1:18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R1054" s="10">
        <f t="shared" si="16"/>
        <v>0</v>
      </c>
    </row>
    <row r="1055" spans="1:18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R1055" s="10">
        <f t="shared" si="16"/>
        <v>1</v>
      </c>
    </row>
    <row r="1056" spans="1:18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R1056" s="10">
        <f t="shared" si="16"/>
        <v>0</v>
      </c>
    </row>
    <row r="1057" spans="1:18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R1057" s="10">
        <f t="shared" si="16"/>
        <v>0</v>
      </c>
    </row>
    <row r="1058" spans="1:18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R1058" s="10">
        <f t="shared" si="16"/>
        <v>0</v>
      </c>
    </row>
    <row r="1059" spans="1:18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R1059" s="10">
        <f t="shared" si="16"/>
        <v>0</v>
      </c>
    </row>
    <row r="1060" spans="1:18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R1060" s="10">
        <f t="shared" si="16"/>
        <v>0</v>
      </c>
    </row>
    <row r="1061" spans="1:18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R1061" s="10">
        <f t="shared" si="16"/>
        <v>1</v>
      </c>
    </row>
    <row r="1062" spans="1:18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R1062" s="10">
        <f t="shared" si="16"/>
        <v>0</v>
      </c>
    </row>
    <row r="1063" spans="1:18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R1063" s="10">
        <f t="shared" si="16"/>
        <v>1</v>
      </c>
    </row>
    <row r="1064" spans="1:18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R1064" s="10">
        <f t="shared" si="16"/>
        <v>0</v>
      </c>
    </row>
    <row r="1065" spans="1:18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R1065" s="10">
        <f t="shared" si="16"/>
        <v>0</v>
      </c>
    </row>
    <row r="1066" spans="1:18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R1066" s="10">
        <f t="shared" si="16"/>
        <v>0</v>
      </c>
    </row>
    <row r="1067" spans="1:18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R1067" s="10">
        <f t="shared" si="16"/>
        <v>1</v>
      </c>
    </row>
    <row r="1068" spans="1:18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R1068" s="10">
        <f t="shared" si="16"/>
        <v>0</v>
      </c>
    </row>
    <row r="1069" spans="1:18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R1069" s="10">
        <f t="shared" si="16"/>
        <v>1</v>
      </c>
    </row>
    <row r="1070" spans="1:18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R1070" s="10">
        <f t="shared" si="16"/>
        <v>0</v>
      </c>
    </row>
    <row r="1071" spans="1:18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R1071" s="10">
        <f t="shared" si="16"/>
        <v>1</v>
      </c>
    </row>
    <row r="1072" spans="1:18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R1072" s="10">
        <f t="shared" si="16"/>
        <v>0</v>
      </c>
    </row>
    <row r="1073" spans="1:18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R1073" s="10">
        <f t="shared" si="16"/>
        <v>0</v>
      </c>
    </row>
    <row r="1074" spans="1:18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R1074" s="10">
        <f t="shared" si="16"/>
        <v>1</v>
      </c>
    </row>
    <row r="1075" spans="1:18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R1075" s="10">
        <f t="shared" si="16"/>
        <v>1</v>
      </c>
    </row>
    <row r="1076" spans="1:18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R1076" s="10">
        <f t="shared" si="16"/>
        <v>0</v>
      </c>
    </row>
    <row r="1077" spans="1:18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R1077" s="10">
        <f t="shared" si="16"/>
        <v>0</v>
      </c>
    </row>
    <row r="1078" spans="1:18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R1078" s="10">
        <f t="shared" si="16"/>
        <v>0</v>
      </c>
    </row>
    <row r="1079" spans="1:18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R1079" s="10">
        <f t="shared" si="16"/>
        <v>0</v>
      </c>
    </row>
    <row r="1080" spans="1:18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R1080" s="10">
        <f t="shared" si="16"/>
        <v>1</v>
      </c>
    </row>
    <row r="1081" spans="1:18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R1081" s="10">
        <f t="shared" si="16"/>
        <v>0</v>
      </c>
    </row>
    <row r="1082" spans="1:18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R1082" s="10">
        <f t="shared" si="16"/>
        <v>0</v>
      </c>
    </row>
    <row r="1083" spans="1:18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R1083" s="10">
        <f t="shared" si="16"/>
        <v>0</v>
      </c>
    </row>
    <row r="1084" spans="1:18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R1084" s="10">
        <f t="shared" si="16"/>
        <v>1</v>
      </c>
    </row>
    <row r="1085" spans="1:18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R1085" s="10">
        <f t="shared" si="16"/>
        <v>0</v>
      </c>
    </row>
    <row r="1086" spans="1:18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R1086" s="10">
        <f t="shared" si="16"/>
        <v>1</v>
      </c>
    </row>
    <row r="1087" spans="1:18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R1087" s="10">
        <f t="shared" si="16"/>
        <v>0</v>
      </c>
    </row>
    <row r="1088" spans="1:18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R1088" s="10">
        <f t="shared" si="16"/>
        <v>0</v>
      </c>
    </row>
    <row r="1089" spans="1:18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R1089" s="10">
        <f t="shared" si="16"/>
        <v>1</v>
      </c>
    </row>
    <row r="1090" spans="1:18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R1090" s="10">
        <f t="shared" si="16"/>
        <v>0</v>
      </c>
    </row>
    <row r="1091" spans="1:18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R1091" s="10">
        <f t="shared" ref="R1091:R1154" si="17">IF(M1091&gt;0,1,0)</f>
        <v>0</v>
      </c>
    </row>
    <row r="1092" spans="1:18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R1092" s="10">
        <f t="shared" si="17"/>
        <v>1</v>
      </c>
    </row>
    <row r="1093" spans="1:18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R1093" s="10">
        <f t="shared" si="17"/>
        <v>0</v>
      </c>
    </row>
    <row r="1094" spans="1:18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R1094" s="10">
        <f t="shared" si="17"/>
        <v>0</v>
      </c>
    </row>
    <row r="1095" spans="1:18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R1095" s="10">
        <f t="shared" si="17"/>
        <v>0</v>
      </c>
    </row>
    <row r="1096" spans="1:18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R1096" s="10">
        <f t="shared" si="17"/>
        <v>1</v>
      </c>
    </row>
    <row r="1097" spans="1:18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R1097" s="10">
        <f t="shared" si="17"/>
        <v>0</v>
      </c>
    </row>
    <row r="1098" spans="1:18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R1098" s="10">
        <f t="shared" si="17"/>
        <v>0</v>
      </c>
    </row>
    <row r="1099" spans="1:18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R1099" s="10">
        <f t="shared" si="17"/>
        <v>0</v>
      </c>
    </row>
    <row r="1100" spans="1:18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R1100" s="10">
        <f t="shared" si="17"/>
        <v>0</v>
      </c>
    </row>
    <row r="1101" spans="1:18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R1101" s="10">
        <f t="shared" si="17"/>
        <v>1</v>
      </c>
    </row>
    <row r="1102" spans="1:18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R1102" s="10">
        <f t="shared" si="17"/>
        <v>0</v>
      </c>
    </row>
    <row r="1103" spans="1:18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R1103" s="10">
        <f t="shared" si="17"/>
        <v>0</v>
      </c>
    </row>
    <row r="1104" spans="1:18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R1104" s="10">
        <f t="shared" si="17"/>
        <v>0</v>
      </c>
    </row>
    <row r="1105" spans="1:18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R1105" s="10">
        <f t="shared" si="17"/>
        <v>0</v>
      </c>
    </row>
    <row r="1106" spans="1:18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R1106" s="10">
        <f t="shared" si="17"/>
        <v>0</v>
      </c>
    </row>
    <row r="1107" spans="1:18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R1107" s="10">
        <f t="shared" si="17"/>
        <v>0</v>
      </c>
    </row>
    <row r="1108" spans="1:18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R1108" s="10">
        <f t="shared" si="17"/>
        <v>1</v>
      </c>
    </row>
    <row r="1109" spans="1:18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R1109" s="10">
        <f t="shared" si="17"/>
        <v>0</v>
      </c>
    </row>
    <row r="1110" spans="1:18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R1110" s="10">
        <f t="shared" si="17"/>
        <v>0</v>
      </c>
    </row>
    <row r="1111" spans="1:18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R1111" s="10">
        <f t="shared" si="17"/>
        <v>0</v>
      </c>
    </row>
    <row r="1112" spans="1:18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R1112" s="10">
        <f t="shared" si="17"/>
        <v>1</v>
      </c>
    </row>
    <row r="1113" spans="1:18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R1113" s="10">
        <f t="shared" si="17"/>
        <v>1</v>
      </c>
    </row>
    <row r="1114" spans="1:18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R1114" s="10">
        <f t="shared" si="17"/>
        <v>1</v>
      </c>
    </row>
    <row r="1115" spans="1:18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R1115" s="10">
        <f t="shared" si="17"/>
        <v>1</v>
      </c>
    </row>
    <row r="1116" spans="1:18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R1116" s="10">
        <f t="shared" si="17"/>
        <v>0</v>
      </c>
    </row>
    <row r="1117" spans="1:18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R1117" s="10">
        <f t="shared" si="17"/>
        <v>0</v>
      </c>
    </row>
    <row r="1118" spans="1:18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R1118" s="10">
        <f t="shared" si="17"/>
        <v>1</v>
      </c>
    </row>
    <row r="1119" spans="1:18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R1119" s="10">
        <f t="shared" si="17"/>
        <v>0</v>
      </c>
    </row>
    <row r="1120" spans="1:18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R1120" s="10">
        <f t="shared" si="17"/>
        <v>0</v>
      </c>
    </row>
    <row r="1121" spans="1:18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R1121" s="10">
        <f t="shared" si="17"/>
        <v>0</v>
      </c>
    </row>
    <row r="1122" spans="1:18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R1122" s="10">
        <f t="shared" si="17"/>
        <v>0</v>
      </c>
    </row>
    <row r="1123" spans="1:18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R1123" s="10">
        <f t="shared" si="17"/>
        <v>0</v>
      </c>
    </row>
    <row r="1124" spans="1:18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R1124" s="10">
        <f t="shared" si="17"/>
        <v>0</v>
      </c>
    </row>
    <row r="1125" spans="1:18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R1125" s="10">
        <f t="shared" si="17"/>
        <v>0</v>
      </c>
    </row>
    <row r="1126" spans="1:18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R1126" s="10">
        <f t="shared" si="17"/>
        <v>1</v>
      </c>
    </row>
    <row r="1127" spans="1:18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R1127" s="10">
        <f t="shared" si="17"/>
        <v>0</v>
      </c>
    </row>
    <row r="1128" spans="1:18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R1128" s="10">
        <f t="shared" si="17"/>
        <v>0</v>
      </c>
    </row>
    <row r="1129" spans="1:18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R1129" s="10">
        <f t="shared" si="17"/>
        <v>0</v>
      </c>
    </row>
    <row r="1130" spans="1:18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R1130" s="10">
        <f t="shared" si="17"/>
        <v>0</v>
      </c>
    </row>
    <row r="1131" spans="1:18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R1131" s="10">
        <f t="shared" si="17"/>
        <v>0</v>
      </c>
    </row>
    <row r="1132" spans="1:18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R1132" s="10">
        <f t="shared" si="17"/>
        <v>1</v>
      </c>
    </row>
    <row r="1133" spans="1:18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R1133" s="10">
        <f t="shared" si="17"/>
        <v>0</v>
      </c>
    </row>
    <row r="1134" spans="1:18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R1134" s="10">
        <f t="shared" si="17"/>
        <v>1</v>
      </c>
    </row>
    <row r="1135" spans="1:18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R1135" s="10">
        <f t="shared" si="17"/>
        <v>0</v>
      </c>
    </row>
    <row r="1136" spans="1:18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R1136" s="10">
        <f t="shared" si="17"/>
        <v>0</v>
      </c>
    </row>
    <row r="1137" spans="1:18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R1137" s="10">
        <f t="shared" si="17"/>
        <v>1</v>
      </c>
    </row>
    <row r="1138" spans="1:18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R1138" s="10">
        <f t="shared" si="17"/>
        <v>0</v>
      </c>
    </row>
    <row r="1139" spans="1:18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R1139" s="10">
        <f t="shared" si="17"/>
        <v>0</v>
      </c>
    </row>
    <row r="1140" spans="1:18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R1140" s="10">
        <f t="shared" si="17"/>
        <v>0</v>
      </c>
    </row>
    <row r="1141" spans="1:18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R1141" s="10">
        <f t="shared" si="17"/>
        <v>0</v>
      </c>
    </row>
    <row r="1142" spans="1:18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R1142" s="10">
        <f t="shared" si="17"/>
        <v>0</v>
      </c>
    </row>
    <row r="1143" spans="1:18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R1143" s="10">
        <f t="shared" si="17"/>
        <v>1</v>
      </c>
    </row>
    <row r="1144" spans="1:18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R1144" s="10">
        <f t="shared" si="17"/>
        <v>0</v>
      </c>
    </row>
    <row r="1145" spans="1:18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R1145" s="10">
        <f t="shared" si="17"/>
        <v>0</v>
      </c>
    </row>
    <row r="1146" spans="1:18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R1146" s="10">
        <f t="shared" si="17"/>
        <v>0</v>
      </c>
    </row>
    <row r="1147" spans="1:18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R1147" s="10">
        <f t="shared" si="17"/>
        <v>0</v>
      </c>
    </row>
    <row r="1148" spans="1:18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R1148" s="10">
        <f t="shared" si="17"/>
        <v>0</v>
      </c>
    </row>
    <row r="1149" spans="1:18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R1149" s="10">
        <f t="shared" si="17"/>
        <v>0</v>
      </c>
    </row>
    <row r="1150" spans="1:18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R1150" s="10">
        <f t="shared" si="17"/>
        <v>1</v>
      </c>
    </row>
    <row r="1151" spans="1:18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R1151" s="10">
        <f t="shared" si="17"/>
        <v>0</v>
      </c>
    </row>
    <row r="1152" spans="1:18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R1152" s="10">
        <f t="shared" si="17"/>
        <v>0</v>
      </c>
    </row>
    <row r="1153" spans="1:18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R1153" s="10">
        <f t="shared" si="17"/>
        <v>1</v>
      </c>
    </row>
    <row r="1154" spans="1:18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R1154" s="10">
        <f t="shared" si="17"/>
        <v>0</v>
      </c>
    </row>
    <row r="1155" spans="1:18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R1155" s="10">
        <f t="shared" ref="R1155:R1218" si="18">IF(M1155&gt;0,1,0)</f>
        <v>0</v>
      </c>
    </row>
    <row r="1156" spans="1:18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R1156" s="10">
        <f t="shared" si="18"/>
        <v>0</v>
      </c>
    </row>
    <row r="1157" spans="1:18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R1157" s="10">
        <f t="shared" si="18"/>
        <v>0</v>
      </c>
    </row>
    <row r="1158" spans="1:18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R1158" s="10">
        <f t="shared" si="18"/>
        <v>0</v>
      </c>
    </row>
    <row r="1159" spans="1:18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R1159" s="10">
        <f t="shared" si="18"/>
        <v>0</v>
      </c>
    </row>
    <row r="1160" spans="1:18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R1160" s="10">
        <f t="shared" si="18"/>
        <v>1</v>
      </c>
    </row>
    <row r="1161" spans="1:18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R1161" s="10">
        <f t="shared" si="18"/>
        <v>0</v>
      </c>
    </row>
    <row r="1162" spans="1:18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R1162" s="10">
        <f t="shared" si="18"/>
        <v>0</v>
      </c>
    </row>
    <row r="1163" spans="1:18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R1163" s="10">
        <f t="shared" si="18"/>
        <v>0</v>
      </c>
    </row>
    <row r="1164" spans="1:18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R1164" s="10">
        <f t="shared" si="18"/>
        <v>1</v>
      </c>
    </row>
    <row r="1165" spans="1:18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R1165" s="10">
        <f t="shared" si="18"/>
        <v>1</v>
      </c>
    </row>
    <row r="1166" spans="1:18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R1166" s="10">
        <f t="shared" si="18"/>
        <v>0</v>
      </c>
    </row>
    <row r="1167" spans="1:18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R1167" s="10">
        <f t="shared" si="18"/>
        <v>1</v>
      </c>
    </row>
    <row r="1168" spans="1:18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R1168" s="10">
        <f t="shared" si="18"/>
        <v>1</v>
      </c>
    </row>
    <row r="1169" spans="1:18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R1169" s="10">
        <f t="shared" si="18"/>
        <v>0</v>
      </c>
    </row>
    <row r="1170" spans="1:18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R1170" s="10">
        <f t="shared" si="18"/>
        <v>1</v>
      </c>
    </row>
    <row r="1171" spans="1:18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R1171" s="10">
        <f t="shared" si="18"/>
        <v>0</v>
      </c>
    </row>
    <row r="1172" spans="1:18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R1172" s="10">
        <f t="shared" si="18"/>
        <v>0</v>
      </c>
    </row>
    <row r="1173" spans="1:18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R1173" s="10">
        <f t="shared" si="18"/>
        <v>1</v>
      </c>
    </row>
    <row r="1174" spans="1:18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R1174" s="10">
        <f t="shared" si="18"/>
        <v>1</v>
      </c>
    </row>
    <row r="1175" spans="1:18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R1175" s="10">
        <f t="shared" si="18"/>
        <v>1</v>
      </c>
    </row>
    <row r="1176" spans="1:18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R1176" s="10">
        <f t="shared" si="18"/>
        <v>0</v>
      </c>
    </row>
    <row r="1177" spans="1:18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R1177" s="10">
        <f t="shared" si="18"/>
        <v>0</v>
      </c>
    </row>
    <row r="1178" spans="1:18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R1178" s="10">
        <f t="shared" si="18"/>
        <v>0</v>
      </c>
    </row>
    <row r="1179" spans="1:18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R1179" s="10">
        <f t="shared" si="18"/>
        <v>0</v>
      </c>
    </row>
    <row r="1180" spans="1:18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R1180" s="10">
        <f t="shared" si="18"/>
        <v>1</v>
      </c>
    </row>
    <row r="1181" spans="1:18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R1181" s="10">
        <f t="shared" si="18"/>
        <v>0</v>
      </c>
    </row>
    <row r="1182" spans="1:18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R1182" s="10">
        <f t="shared" si="18"/>
        <v>0</v>
      </c>
    </row>
    <row r="1183" spans="1:18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R1183" s="10">
        <f t="shared" si="18"/>
        <v>0</v>
      </c>
    </row>
    <row r="1184" spans="1:18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R1184" s="10">
        <f t="shared" si="18"/>
        <v>0</v>
      </c>
    </row>
    <row r="1185" spans="1:18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R1185" s="10">
        <f t="shared" si="18"/>
        <v>0</v>
      </c>
    </row>
    <row r="1186" spans="1:18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R1186" s="10">
        <f t="shared" si="18"/>
        <v>1</v>
      </c>
    </row>
    <row r="1187" spans="1:18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R1187" s="10">
        <f t="shared" si="18"/>
        <v>0</v>
      </c>
    </row>
    <row r="1188" spans="1:18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R1188" s="10">
        <f t="shared" si="18"/>
        <v>1</v>
      </c>
    </row>
    <row r="1189" spans="1:18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R1189" s="10">
        <f t="shared" si="18"/>
        <v>0</v>
      </c>
    </row>
    <row r="1190" spans="1:18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R1190" s="10">
        <f t="shared" si="18"/>
        <v>0</v>
      </c>
    </row>
    <row r="1191" spans="1:18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R1191" s="10">
        <f t="shared" si="18"/>
        <v>0</v>
      </c>
    </row>
    <row r="1192" spans="1:18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R1192" s="10">
        <f t="shared" si="18"/>
        <v>0</v>
      </c>
    </row>
    <row r="1193" spans="1:18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R1193" s="10">
        <f t="shared" si="18"/>
        <v>0</v>
      </c>
    </row>
    <row r="1194" spans="1:18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R1194" s="10">
        <f t="shared" si="18"/>
        <v>0</v>
      </c>
    </row>
    <row r="1195" spans="1:18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R1195" s="10">
        <f t="shared" si="18"/>
        <v>0</v>
      </c>
    </row>
    <row r="1196" spans="1:18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R1196" s="10">
        <f t="shared" si="18"/>
        <v>1</v>
      </c>
    </row>
    <row r="1197" spans="1:18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R1197" s="10">
        <f t="shared" si="18"/>
        <v>1</v>
      </c>
    </row>
    <row r="1198" spans="1:18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R1198" s="10">
        <f t="shared" si="18"/>
        <v>0</v>
      </c>
    </row>
    <row r="1199" spans="1:18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R1199" s="10">
        <f t="shared" si="18"/>
        <v>1</v>
      </c>
    </row>
    <row r="1200" spans="1:18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R1200" s="10">
        <f t="shared" si="18"/>
        <v>0</v>
      </c>
    </row>
    <row r="1201" spans="1:18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R1201" s="10">
        <f t="shared" si="18"/>
        <v>0</v>
      </c>
    </row>
    <row r="1202" spans="1:18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R1202" s="10">
        <f t="shared" si="18"/>
        <v>1</v>
      </c>
    </row>
    <row r="1203" spans="1:18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R1203" s="10">
        <f t="shared" si="18"/>
        <v>1</v>
      </c>
    </row>
    <row r="1204" spans="1:18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R1204" s="10">
        <f t="shared" si="18"/>
        <v>1</v>
      </c>
    </row>
    <row r="1205" spans="1:18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R1205" s="10">
        <f t="shared" si="18"/>
        <v>1</v>
      </c>
    </row>
    <row r="1206" spans="1:18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R1206" s="10">
        <f t="shared" si="18"/>
        <v>0</v>
      </c>
    </row>
    <row r="1207" spans="1:18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R1207" s="10">
        <f t="shared" si="18"/>
        <v>0</v>
      </c>
    </row>
    <row r="1208" spans="1:18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R1208" s="10">
        <f t="shared" si="18"/>
        <v>0</v>
      </c>
    </row>
    <row r="1209" spans="1:18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R1209" s="10">
        <f t="shared" si="18"/>
        <v>1</v>
      </c>
    </row>
    <row r="1210" spans="1:18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R1210" s="10">
        <f t="shared" si="18"/>
        <v>0</v>
      </c>
    </row>
    <row r="1211" spans="1:18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R1211" s="10">
        <f t="shared" si="18"/>
        <v>0</v>
      </c>
    </row>
    <row r="1212" spans="1:18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R1212" s="10">
        <f t="shared" si="18"/>
        <v>0</v>
      </c>
    </row>
    <row r="1213" spans="1:18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R1213" s="10">
        <f t="shared" si="18"/>
        <v>1</v>
      </c>
    </row>
    <row r="1214" spans="1:18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R1214" s="10">
        <f t="shared" si="18"/>
        <v>0</v>
      </c>
    </row>
    <row r="1215" spans="1:18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R1215" s="10">
        <f t="shared" si="18"/>
        <v>0</v>
      </c>
    </row>
    <row r="1216" spans="1:18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R1216" s="10">
        <f t="shared" si="18"/>
        <v>0</v>
      </c>
    </row>
    <row r="1217" spans="1:18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R1217" s="10">
        <f t="shared" si="18"/>
        <v>0</v>
      </c>
    </row>
    <row r="1218" spans="1:18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R1218" s="10">
        <f t="shared" si="18"/>
        <v>0</v>
      </c>
    </row>
    <row r="1219" spans="1:18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R1219" s="10">
        <f t="shared" ref="R1219:R1282" si="19">IF(M1219&gt;0,1,0)</f>
        <v>0</v>
      </c>
    </row>
    <row r="1220" spans="1:18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R1220" s="10">
        <f t="shared" si="19"/>
        <v>0</v>
      </c>
    </row>
    <row r="1221" spans="1:18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R1221" s="10">
        <f t="shared" si="19"/>
        <v>0</v>
      </c>
    </row>
    <row r="1222" spans="1:18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R1222" s="10">
        <f t="shared" si="19"/>
        <v>1</v>
      </c>
    </row>
    <row r="1223" spans="1:18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R1223" s="10">
        <f t="shared" si="19"/>
        <v>0</v>
      </c>
    </row>
    <row r="1224" spans="1:18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R1224" s="10">
        <f t="shared" si="19"/>
        <v>0</v>
      </c>
    </row>
    <row r="1225" spans="1:18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R1225" s="10">
        <f t="shared" si="19"/>
        <v>1</v>
      </c>
    </row>
    <row r="1226" spans="1:18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R1226" s="10">
        <f t="shared" si="19"/>
        <v>0</v>
      </c>
    </row>
    <row r="1227" spans="1:18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R1227" s="10">
        <f t="shared" si="19"/>
        <v>0</v>
      </c>
    </row>
    <row r="1228" spans="1:18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R1228" s="10">
        <f t="shared" si="19"/>
        <v>0</v>
      </c>
    </row>
    <row r="1229" spans="1:18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R1229" s="10">
        <f t="shared" si="19"/>
        <v>1</v>
      </c>
    </row>
    <row r="1230" spans="1:18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R1230" s="10">
        <f t="shared" si="19"/>
        <v>0</v>
      </c>
    </row>
    <row r="1231" spans="1:18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R1231" s="10">
        <f t="shared" si="19"/>
        <v>0</v>
      </c>
    </row>
    <row r="1232" spans="1:18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R1232" s="10">
        <f t="shared" si="19"/>
        <v>1</v>
      </c>
    </row>
    <row r="1233" spans="1:18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R1233" s="10">
        <f t="shared" si="19"/>
        <v>1</v>
      </c>
    </row>
    <row r="1234" spans="1:18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R1234" s="10">
        <f t="shared" si="19"/>
        <v>0</v>
      </c>
    </row>
    <row r="1235" spans="1:18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R1235" s="10">
        <f t="shared" si="19"/>
        <v>0</v>
      </c>
    </row>
    <row r="1236" spans="1:18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R1236" s="10">
        <f t="shared" si="19"/>
        <v>0</v>
      </c>
    </row>
    <row r="1237" spans="1:18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R1237" s="10">
        <f t="shared" si="19"/>
        <v>0</v>
      </c>
    </row>
    <row r="1238" spans="1:18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R1238" s="10">
        <f t="shared" si="19"/>
        <v>0</v>
      </c>
    </row>
    <row r="1239" spans="1:18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R1239" s="10">
        <f t="shared" si="19"/>
        <v>0</v>
      </c>
    </row>
    <row r="1240" spans="1:18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R1240" s="10">
        <f t="shared" si="19"/>
        <v>0</v>
      </c>
    </row>
    <row r="1241" spans="1:18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R1241" s="10">
        <f t="shared" si="19"/>
        <v>0</v>
      </c>
    </row>
    <row r="1242" spans="1:18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R1242" s="10">
        <f t="shared" si="19"/>
        <v>0</v>
      </c>
    </row>
    <row r="1243" spans="1:18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R1243" s="10">
        <f t="shared" si="19"/>
        <v>1</v>
      </c>
    </row>
    <row r="1244" spans="1:18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R1244" s="10">
        <f t="shared" si="19"/>
        <v>0</v>
      </c>
    </row>
    <row r="1245" spans="1:18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R1245" s="10">
        <f t="shared" si="19"/>
        <v>0</v>
      </c>
    </row>
    <row r="1246" spans="1:18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R1246" s="10">
        <f t="shared" si="19"/>
        <v>0</v>
      </c>
    </row>
    <row r="1247" spans="1:18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R1247" s="10">
        <f t="shared" si="19"/>
        <v>0</v>
      </c>
    </row>
    <row r="1248" spans="1:18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R1248" s="10">
        <f t="shared" si="19"/>
        <v>0</v>
      </c>
    </row>
    <row r="1249" spans="1:18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R1249" s="10">
        <f t="shared" si="19"/>
        <v>0</v>
      </c>
    </row>
    <row r="1250" spans="1:18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R1250" s="10">
        <f t="shared" si="19"/>
        <v>1</v>
      </c>
    </row>
    <row r="1251" spans="1:18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R1251" s="10">
        <f t="shared" si="19"/>
        <v>0</v>
      </c>
    </row>
    <row r="1252" spans="1:18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R1252" s="10">
        <f t="shared" si="19"/>
        <v>0</v>
      </c>
    </row>
    <row r="1253" spans="1:18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R1253" s="10">
        <f t="shared" si="19"/>
        <v>1</v>
      </c>
    </row>
    <row r="1254" spans="1:18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R1254" s="10">
        <f t="shared" si="19"/>
        <v>0</v>
      </c>
    </row>
    <row r="1255" spans="1:18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R1255" s="10">
        <f t="shared" si="19"/>
        <v>0</v>
      </c>
    </row>
    <row r="1256" spans="1:18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R1256" s="10">
        <f t="shared" si="19"/>
        <v>0</v>
      </c>
    </row>
    <row r="1257" spans="1:18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R1257" s="10">
        <f t="shared" si="19"/>
        <v>0</v>
      </c>
    </row>
    <row r="1258" spans="1:18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R1258" s="10">
        <f t="shared" si="19"/>
        <v>0</v>
      </c>
    </row>
    <row r="1259" spans="1:18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R1259" s="10">
        <f t="shared" si="19"/>
        <v>0</v>
      </c>
    </row>
    <row r="1260" spans="1:18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R1260" s="10">
        <f t="shared" si="19"/>
        <v>0</v>
      </c>
    </row>
    <row r="1261" spans="1:18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R1261" s="10">
        <f t="shared" si="19"/>
        <v>0</v>
      </c>
    </row>
    <row r="1262" spans="1:18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R1262" s="10">
        <f t="shared" si="19"/>
        <v>0</v>
      </c>
    </row>
    <row r="1263" spans="1:18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R1263" s="10">
        <f t="shared" si="19"/>
        <v>0</v>
      </c>
    </row>
    <row r="1264" spans="1:18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R1264" s="10">
        <f t="shared" si="19"/>
        <v>0</v>
      </c>
    </row>
    <row r="1265" spans="1:18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R1265" s="10">
        <f t="shared" si="19"/>
        <v>0</v>
      </c>
    </row>
    <row r="1266" spans="1:18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R1266" s="10">
        <f t="shared" si="19"/>
        <v>1</v>
      </c>
    </row>
    <row r="1267" spans="1:18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R1267" s="10">
        <f t="shared" si="19"/>
        <v>0</v>
      </c>
    </row>
    <row r="1268" spans="1:18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R1268" s="10">
        <f t="shared" si="19"/>
        <v>0</v>
      </c>
    </row>
    <row r="1269" spans="1:18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R1269" s="10">
        <f t="shared" si="19"/>
        <v>0</v>
      </c>
    </row>
    <row r="1270" spans="1:18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R1270" s="10">
        <f t="shared" si="19"/>
        <v>1</v>
      </c>
    </row>
    <row r="1271" spans="1:18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R1271" s="10">
        <f t="shared" si="19"/>
        <v>0</v>
      </c>
    </row>
    <row r="1272" spans="1:18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R1272" s="10">
        <f t="shared" si="19"/>
        <v>1</v>
      </c>
    </row>
    <row r="1273" spans="1:18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R1273" s="10">
        <f t="shared" si="19"/>
        <v>0</v>
      </c>
    </row>
    <row r="1274" spans="1:18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R1274" s="10">
        <f t="shared" si="19"/>
        <v>1</v>
      </c>
    </row>
    <row r="1275" spans="1:18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R1275" s="10">
        <f t="shared" si="19"/>
        <v>0</v>
      </c>
    </row>
    <row r="1276" spans="1:18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R1276" s="10">
        <f t="shared" si="19"/>
        <v>1</v>
      </c>
    </row>
    <row r="1277" spans="1:18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R1277" s="10">
        <f t="shared" si="19"/>
        <v>0</v>
      </c>
    </row>
    <row r="1278" spans="1:18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R1278" s="10">
        <f t="shared" si="19"/>
        <v>0</v>
      </c>
    </row>
    <row r="1279" spans="1:18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R1279" s="10">
        <f t="shared" si="19"/>
        <v>0</v>
      </c>
    </row>
    <row r="1280" spans="1:18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R1280" s="10">
        <f t="shared" si="19"/>
        <v>0</v>
      </c>
    </row>
    <row r="1281" spans="1:18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R1281" s="10">
        <f t="shared" si="19"/>
        <v>0</v>
      </c>
    </row>
    <row r="1282" spans="1:18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R1282" s="10">
        <f t="shared" si="19"/>
        <v>0</v>
      </c>
    </row>
    <row r="1283" spans="1:18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R1283" s="10">
        <f t="shared" ref="R1283:R1346" si="20">IF(M1283&gt;0,1,0)</f>
        <v>0</v>
      </c>
    </row>
    <row r="1284" spans="1:18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R1284" s="10">
        <f t="shared" si="20"/>
        <v>1</v>
      </c>
    </row>
    <row r="1285" spans="1:18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R1285" s="10">
        <f t="shared" si="20"/>
        <v>0</v>
      </c>
    </row>
    <row r="1286" spans="1:18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R1286" s="10">
        <f t="shared" si="20"/>
        <v>0</v>
      </c>
    </row>
    <row r="1287" spans="1:18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R1287" s="10">
        <f t="shared" si="20"/>
        <v>1</v>
      </c>
    </row>
    <row r="1288" spans="1:18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R1288" s="10">
        <f t="shared" si="20"/>
        <v>1</v>
      </c>
    </row>
    <row r="1289" spans="1:18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R1289" s="10">
        <f t="shared" si="20"/>
        <v>0</v>
      </c>
    </row>
    <row r="1290" spans="1:18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R1290" s="10">
        <f t="shared" si="20"/>
        <v>1</v>
      </c>
    </row>
    <row r="1291" spans="1:18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R1291" s="10">
        <f t="shared" si="20"/>
        <v>0</v>
      </c>
    </row>
    <row r="1292" spans="1:18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R1292" s="10">
        <f t="shared" si="20"/>
        <v>0</v>
      </c>
    </row>
    <row r="1293" spans="1:18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R1293" s="10">
        <f t="shared" si="20"/>
        <v>0</v>
      </c>
    </row>
    <row r="1294" spans="1:18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R1294" s="10">
        <f t="shared" si="20"/>
        <v>0</v>
      </c>
    </row>
    <row r="1295" spans="1:18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R1295" s="10">
        <f t="shared" si="20"/>
        <v>0</v>
      </c>
    </row>
    <row r="1296" spans="1:18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R1296" s="10">
        <f t="shared" si="20"/>
        <v>0</v>
      </c>
    </row>
    <row r="1297" spans="1:18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R1297" s="10">
        <f t="shared" si="20"/>
        <v>0</v>
      </c>
    </row>
    <row r="1298" spans="1:18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R1298" s="10">
        <f t="shared" si="20"/>
        <v>0</v>
      </c>
    </row>
    <row r="1299" spans="1:18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R1299" s="10">
        <f t="shared" si="20"/>
        <v>1</v>
      </c>
    </row>
    <row r="1300" spans="1:18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R1300" s="10">
        <f t="shared" si="20"/>
        <v>1</v>
      </c>
    </row>
    <row r="1301" spans="1:18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R1301" s="10">
        <f t="shared" si="20"/>
        <v>0</v>
      </c>
    </row>
    <row r="1302" spans="1:18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R1302" s="10">
        <f t="shared" si="20"/>
        <v>0</v>
      </c>
    </row>
    <row r="1303" spans="1:18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R1303" s="10">
        <f t="shared" si="20"/>
        <v>1</v>
      </c>
    </row>
    <row r="1304" spans="1:18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R1304" s="10">
        <f t="shared" si="20"/>
        <v>0</v>
      </c>
    </row>
    <row r="1305" spans="1:18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R1305" s="10">
        <f t="shared" si="20"/>
        <v>0</v>
      </c>
    </row>
    <row r="1306" spans="1:18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R1306" s="10">
        <f t="shared" si="20"/>
        <v>1</v>
      </c>
    </row>
    <row r="1307" spans="1:18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R1307" s="10">
        <f t="shared" si="20"/>
        <v>0</v>
      </c>
    </row>
    <row r="1308" spans="1:18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R1308" s="10">
        <f t="shared" si="20"/>
        <v>0</v>
      </c>
    </row>
    <row r="1309" spans="1:18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R1309" s="10">
        <f t="shared" si="20"/>
        <v>0</v>
      </c>
    </row>
    <row r="1310" spans="1:18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R1310" s="10">
        <f t="shared" si="20"/>
        <v>0</v>
      </c>
    </row>
    <row r="1311" spans="1:18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R1311" s="10">
        <f t="shared" si="20"/>
        <v>0</v>
      </c>
    </row>
    <row r="1312" spans="1:18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R1312" s="10">
        <f t="shared" si="20"/>
        <v>0</v>
      </c>
    </row>
    <row r="1313" spans="1:18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R1313" s="10">
        <f t="shared" si="20"/>
        <v>0</v>
      </c>
    </row>
    <row r="1314" spans="1:18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R1314" s="10">
        <f t="shared" si="20"/>
        <v>1</v>
      </c>
    </row>
    <row r="1315" spans="1:18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R1315" s="10">
        <f t="shared" si="20"/>
        <v>0</v>
      </c>
    </row>
    <row r="1316" spans="1:18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R1316" s="10">
        <f t="shared" si="20"/>
        <v>1</v>
      </c>
    </row>
    <row r="1317" spans="1:18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R1317" s="10">
        <f t="shared" si="20"/>
        <v>0</v>
      </c>
    </row>
    <row r="1318" spans="1:18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R1318" s="10">
        <f t="shared" si="20"/>
        <v>0</v>
      </c>
    </row>
    <row r="1319" spans="1:18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R1319" s="10">
        <f t="shared" si="20"/>
        <v>0</v>
      </c>
    </row>
    <row r="1320" spans="1:18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R1320" s="10">
        <f t="shared" si="20"/>
        <v>0</v>
      </c>
    </row>
    <row r="1321" spans="1:18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R1321" s="10">
        <f t="shared" si="20"/>
        <v>1</v>
      </c>
    </row>
    <row r="1322" spans="1:18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R1322" s="10">
        <f t="shared" si="20"/>
        <v>0</v>
      </c>
    </row>
    <row r="1323" spans="1:18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R1323" s="10">
        <f t="shared" si="20"/>
        <v>0</v>
      </c>
    </row>
    <row r="1324" spans="1:18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R1324" s="10">
        <f t="shared" si="20"/>
        <v>0</v>
      </c>
    </row>
    <row r="1325" spans="1:18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R1325" s="10">
        <f t="shared" si="20"/>
        <v>1</v>
      </c>
    </row>
    <row r="1326" spans="1:18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R1326" s="10">
        <f t="shared" si="20"/>
        <v>0</v>
      </c>
    </row>
    <row r="1327" spans="1:18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R1327" s="10">
        <f t="shared" si="20"/>
        <v>0</v>
      </c>
    </row>
    <row r="1328" spans="1:18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R1328" s="10">
        <f t="shared" si="20"/>
        <v>0</v>
      </c>
    </row>
    <row r="1329" spans="1:18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R1329" s="10">
        <f t="shared" si="20"/>
        <v>0</v>
      </c>
    </row>
    <row r="1330" spans="1:18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R1330" s="10">
        <f t="shared" si="20"/>
        <v>0</v>
      </c>
    </row>
    <row r="1331" spans="1:18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R1331" s="10">
        <f t="shared" si="20"/>
        <v>0</v>
      </c>
    </row>
    <row r="1332" spans="1:18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R1332" s="10">
        <f t="shared" si="20"/>
        <v>0</v>
      </c>
    </row>
    <row r="1333" spans="1:18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R1333" s="10">
        <f t="shared" si="20"/>
        <v>0</v>
      </c>
    </row>
    <row r="1334" spans="1:18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R1334" s="10">
        <f t="shared" si="20"/>
        <v>0</v>
      </c>
    </row>
    <row r="1335" spans="1:18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R1335" s="10">
        <f t="shared" si="20"/>
        <v>0</v>
      </c>
    </row>
    <row r="1336" spans="1:18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R1336" s="10">
        <f t="shared" si="20"/>
        <v>0</v>
      </c>
    </row>
    <row r="1337" spans="1:18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R1337" s="10">
        <f t="shared" si="20"/>
        <v>0</v>
      </c>
    </row>
    <row r="1338" spans="1:18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R1338" s="10">
        <f t="shared" si="20"/>
        <v>0</v>
      </c>
    </row>
    <row r="1339" spans="1:18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R1339" s="10">
        <f t="shared" si="20"/>
        <v>0</v>
      </c>
    </row>
    <row r="1340" spans="1:18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R1340" s="10">
        <f t="shared" si="20"/>
        <v>0</v>
      </c>
    </row>
    <row r="1341" spans="1:18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R1341" s="10">
        <f t="shared" si="20"/>
        <v>0</v>
      </c>
    </row>
    <row r="1342" spans="1:18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R1342" s="10">
        <f t="shared" si="20"/>
        <v>1</v>
      </c>
    </row>
    <row r="1343" spans="1:18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R1343" s="10">
        <f t="shared" si="20"/>
        <v>0</v>
      </c>
    </row>
    <row r="1344" spans="1:18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R1344" s="10">
        <f t="shared" si="20"/>
        <v>0</v>
      </c>
    </row>
    <row r="1345" spans="1:18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R1345" s="10">
        <f t="shared" si="20"/>
        <v>1</v>
      </c>
    </row>
    <row r="1346" spans="1:18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R1346" s="10">
        <f t="shared" si="20"/>
        <v>1</v>
      </c>
    </row>
    <row r="1347" spans="1:18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R1347" s="10">
        <f t="shared" ref="R1347:R1409" si="21">IF(M1347&gt;0,1,0)</f>
        <v>0</v>
      </c>
    </row>
    <row r="1348" spans="1:18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R1348" s="10">
        <f t="shared" si="21"/>
        <v>1</v>
      </c>
    </row>
    <row r="1349" spans="1:18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R1349" s="10">
        <f t="shared" si="21"/>
        <v>0</v>
      </c>
    </row>
    <row r="1350" spans="1:18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R1350" s="10">
        <f t="shared" si="21"/>
        <v>1</v>
      </c>
    </row>
    <row r="1351" spans="1:18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R1351" s="10">
        <f t="shared" si="21"/>
        <v>0</v>
      </c>
    </row>
    <row r="1352" spans="1:18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R1352" s="10">
        <f t="shared" si="21"/>
        <v>1</v>
      </c>
    </row>
    <row r="1353" spans="1:18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R1353" s="10">
        <f t="shared" si="21"/>
        <v>0</v>
      </c>
    </row>
    <row r="1354" spans="1:18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R1354" s="10">
        <f t="shared" si="21"/>
        <v>1</v>
      </c>
    </row>
    <row r="1355" spans="1:18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R1355" s="10">
        <f t="shared" si="21"/>
        <v>0</v>
      </c>
    </row>
    <row r="1356" spans="1:18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R1356" s="10">
        <f t="shared" si="21"/>
        <v>0</v>
      </c>
    </row>
    <row r="1357" spans="1:18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R1357" s="10">
        <f t="shared" si="21"/>
        <v>0</v>
      </c>
    </row>
    <row r="1358" spans="1:18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R1358" s="10">
        <f t="shared" si="21"/>
        <v>1</v>
      </c>
    </row>
    <row r="1359" spans="1:18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R1359" s="10">
        <f t="shared" si="21"/>
        <v>0</v>
      </c>
    </row>
    <row r="1360" spans="1:18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R1360" s="10">
        <f t="shared" si="21"/>
        <v>0</v>
      </c>
    </row>
    <row r="1361" spans="1:18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R1361" s="10">
        <f t="shared" si="21"/>
        <v>0</v>
      </c>
    </row>
    <row r="1362" spans="1:18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R1362" s="10">
        <f t="shared" si="21"/>
        <v>0</v>
      </c>
    </row>
    <row r="1363" spans="1:18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R1363" s="10">
        <f t="shared" si="21"/>
        <v>0</v>
      </c>
    </row>
    <row r="1364" spans="1:18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R1364" s="10">
        <f t="shared" si="21"/>
        <v>0</v>
      </c>
    </row>
    <row r="1365" spans="1:18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R1365" s="10">
        <f t="shared" si="21"/>
        <v>0</v>
      </c>
    </row>
    <row r="1366" spans="1:18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R1366" s="10">
        <f t="shared" si="21"/>
        <v>0</v>
      </c>
    </row>
    <row r="1367" spans="1:18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R1367" s="10">
        <f t="shared" si="21"/>
        <v>1</v>
      </c>
    </row>
    <row r="1368" spans="1:18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R1368" s="10">
        <f t="shared" si="21"/>
        <v>1</v>
      </c>
    </row>
    <row r="1369" spans="1:18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R1369" s="10">
        <f t="shared" si="21"/>
        <v>0</v>
      </c>
    </row>
    <row r="1370" spans="1:18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R1370" s="10">
        <f t="shared" si="21"/>
        <v>0</v>
      </c>
    </row>
    <row r="1371" spans="1:18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R1371" s="10">
        <f t="shared" si="21"/>
        <v>1</v>
      </c>
    </row>
    <row r="1372" spans="1:18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R1372" s="10">
        <f t="shared" si="21"/>
        <v>1</v>
      </c>
    </row>
    <row r="1373" spans="1:18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R1373" s="10">
        <f t="shared" si="21"/>
        <v>0</v>
      </c>
    </row>
    <row r="1374" spans="1:18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R1374" s="10">
        <f t="shared" si="21"/>
        <v>0</v>
      </c>
    </row>
    <row r="1375" spans="1:18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R1375" s="10">
        <f t="shared" si="21"/>
        <v>0</v>
      </c>
    </row>
    <row r="1376" spans="1:18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R1376" s="10">
        <f t="shared" si="21"/>
        <v>0</v>
      </c>
    </row>
    <row r="1377" spans="1:18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R1377" s="10">
        <f t="shared" si="21"/>
        <v>0</v>
      </c>
    </row>
    <row r="1378" spans="1:18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R1378" s="10">
        <f t="shared" si="21"/>
        <v>0</v>
      </c>
    </row>
    <row r="1379" spans="1:18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R1379" s="10">
        <f t="shared" si="21"/>
        <v>0</v>
      </c>
    </row>
    <row r="1380" spans="1:18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R1380" s="10">
        <f t="shared" si="21"/>
        <v>0</v>
      </c>
    </row>
    <row r="1381" spans="1:18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R1381" s="10">
        <f t="shared" si="21"/>
        <v>0</v>
      </c>
    </row>
    <row r="1382" spans="1:18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R1382" s="10">
        <f t="shared" si="21"/>
        <v>0</v>
      </c>
    </row>
    <row r="1383" spans="1:18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R1383" s="10">
        <f t="shared" si="21"/>
        <v>0</v>
      </c>
    </row>
    <row r="1384" spans="1:18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R1384" s="10">
        <f t="shared" si="21"/>
        <v>0</v>
      </c>
    </row>
    <row r="1385" spans="1:18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R1385" s="10">
        <f t="shared" si="21"/>
        <v>0</v>
      </c>
    </row>
    <row r="1386" spans="1:18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R1386" s="10">
        <f t="shared" si="21"/>
        <v>1</v>
      </c>
    </row>
    <row r="1387" spans="1:18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R1387" s="10">
        <f t="shared" si="21"/>
        <v>1</v>
      </c>
    </row>
    <row r="1388" spans="1:18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R1388" s="10">
        <f t="shared" si="21"/>
        <v>1</v>
      </c>
    </row>
    <row r="1389" spans="1:18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R1389" s="10">
        <f t="shared" si="21"/>
        <v>0</v>
      </c>
    </row>
    <row r="1390" spans="1:18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R1390" s="10">
        <f t="shared" si="21"/>
        <v>0</v>
      </c>
    </row>
    <row r="1391" spans="1:18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R1391" s="10">
        <f t="shared" si="21"/>
        <v>1</v>
      </c>
    </row>
    <row r="1392" spans="1:18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R1392" s="10">
        <f t="shared" si="21"/>
        <v>0</v>
      </c>
    </row>
    <row r="1393" spans="1:18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R1393" s="10">
        <f t="shared" si="21"/>
        <v>0</v>
      </c>
    </row>
    <row r="1394" spans="1:18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R1394" s="10">
        <f t="shared" si="21"/>
        <v>0</v>
      </c>
    </row>
    <row r="1395" spans="1:18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R1395" s="10">
        <f t="shared" si="21"/>
        <v>0</v>
      </c>
    </row>
    <row r="1396" spans="1:18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R1396" s="10">
        <f t="shared" si="21"/>
        <v>1</v>
      </c>
    </row>
    <row r="1397" spans="1:18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R1397" s="10">
        <f t="shared" si="21"/>
        <v>0</v>
      </c>
    </row>
    <row r="1398" spans="1:18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R1398" s="10">
        <f t="shared" si="21"/>
        <v>0</v>
      </c>
    </row>
    <row r="1399" spans="1:18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R1399" s="10">
        <f t="shared" si="21"/>
        <v>0</v>
      </c>
    </row>
    <row r="1400" spans="1:18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R1400" s="10">
        <f t="shared" si="21"/>
        <v>0</v>
      </c>
    </row>
    <row r="1401" spans="1:18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R1401" s="10">
        <f t="shared" si="21"/>
        <v>0</v>
      </c>
    </row>
    <row r="1402" spans="1:18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R1402" s="10">
        <f t="shared" si="21"/>
        <v>0</v>
      </c>
    </row>
    <row r="1403" spans="1:18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R1403" s="10">
        <f t="shared" si="21"/>
        <v>0</v>
      </c>
    </row>
    <row r="1404" spans="1:18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R1404" s="10">
        <f t="shared" si="21"/>
        <v>0</v>
      </c>
    </row>
    <row r="1405" spans="1:18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R1405" s="10">
        <f t="shared" si="21"/>
        <v>0</v>
      </c>
    </row>
    <row r="1406" spans="1:18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R1406" s="10">
        <f t="shared" si="21"/>
        <v>0</v>
      </c>
    </row>
    <row r="1407" spans="1:18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R1407" s="10">
        <f t="shared" si="21"/>
        <v>1</v>
      </c>
    </row>
    <row r="1408" spans="1:18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R1408" s="10">
        <f t="shared" si="21"/>
        <v>0</v>
      </c>
    </row>
    <row r="1409" spans="1:18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R1409" s="10">
        <f t="shared" si="21"/>
        <v>0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experiment_summary</vt:lpstr>
      <vt:lpstr>experiment_data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mankar</cp:lastModifiedBy>
  <dcterms:modified xsi:type="dcterms:W3CDTF">2026-06-26T12:09:11Z</dcterms:modified>
</cp:coreProperties>
</file>